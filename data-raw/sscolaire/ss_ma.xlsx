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20" windowWidth="18960" windowHeight="11760" activeTab="6"/>
  </bookViews>
  <sheets>
    <sheet name="UDS 1" sheetId="1" r:id="rId1"/>
    <sheet name="UDS 2" sheetId="2" r:id="rId2"/>
    <sheet name="UDS 3" sheetId="3" r:id="rId3"/>
    <sheet name="UDS 4" sheetId="4" r:id="rId4"/>
    <sheet name="UDS 5" sheetId="5" r:id="rId5"/>
    <sheet name="UDS 6" sheetId="6" r:id="rId6"/>
    <sheet name="UDS 7" sheetId="7" r:id="rId7"/>
  </sheets>
  <calcPr calcId="124519"/>
</workbook>
</file>

<file path=xl/calcChain.xml><?xml version="1.0" encoding="utf-8"?>
<calcChain xmlns="http://schemas.openxmlformats.org/spreadsheetml/2006/main">
  <c r="P64" i="1"/>
  <c r="N64"/>
  <c r="O64"/>
  <c r="M64"/>
  <c r="J64"/>
  <c r="K64"/>
  <c r="L64"/>
  <c r="I64"/>
  <c r="D64"/>
  <c r="E64"/>
  <c r="F64"/>
  <c r="G64"/>
  <c r="H64"/>
  <c r="C64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15"/>
  <c r="P7"/>
  <c r="P8"/>
  <c r="P9"/>
  <c r="P10"/>
  <c r="P11"/>
  <c r="P12"/>
  <c r="P13"/>
  <c r="P14"/>
  <c r="P6"/>
  <c r="P4"/>
  <c r="P5"/>
  <c r="P3"/>
  <c r="J16" i="3"/>
  <c r="K16"/>
  <c r="L16"/>
  <c r="I16"/>
  <c r="P14" i="4"/>
  <c r="J14"/>
  <c r="K14"/>
  <c r="L14"/>
  <c r="I14"/>
  <c r="D14"/>
  <c r="E14"/>
  <c r="F14"/>
  <c r="G14"/>
  <c r="H14"/>
  <c r="C14"/>
  <c r="P11" i="5"/>
  <c r="J11"/>
  <c r="K11"/>
  <c r="L11"/>
  <c r="I11"/>
  <c r="D11"/>
  <c r="E11"/>
  <c r="F11"/>
  <c r="G11"/>
  <c r="H11"/>
  <c r="C11"/>
  <c r="P6"/>
  <c r="P7"/>
  <c r="P8"/>
  <c r="P9"/>
  <c r="P10"/>
  <c r="P5"/>
  <c r="P4"/>
  <c r="P3"/>
  <c r="P2"/>
</calcChain>
</file>

<file path=xl/sharedStrings.xml><?xml version="1.0" encoding="utf-8"?>
<sst xmlns="http://schemas.openxmlformats.org/spreadsheetml/2006/main" count="366" uniqueCount="148">
  <si>
    <t>PRE</t>
  </si>
  <si>
    <t>1 AP</t>
  </si>
  <si>
    <t>2 AP</t>
  </si>
  <si>
    <t>3 AP</t>
  </si>
  <si>
    <t>4 AP</t>
  </si>
  <si>
    <t>5 AP</t>
  </si>
  <si>
    <t>1-AM</t>
  </si>
  <si>
    <t>2-AM</t>
  </si>
  <si>
    <t>3-AM</t>
  </si>
  <si>
    <t>4-AM</t>
  </si>
  <si>
    <t>1 AS</t>
  </si>
  <si>
    <t>2 AS</t>
  </si>
  <si>
    <t>3 AS</t>
  </si>
  <si>
    <t>TOTAL</t>
  </si>
  <si>
    <t>UDS LYCEE BELABIADH KOUIDER AIN ELIBEL</t>
  </si>
  <si>
    <t>lycée ghibech ben thabet - moudjbara</t>
  </si>
  <si>
    <t>lycée kersisse ben elhadj taadmit</t>
  </si>
  <si>
    <t>lycée belabiadh kouider - ainelibel</t>
  </si>
  <si>
    <t>cem elimam chikh ben mahmoud moudjbara</t>
  </si>
  <si>
    <t>cem guecem rabeh moudjbara</t>
  </si>
  <si>
    <t>c e m hebchi aissa maalba</t>
  </si>
  <si>
    <t>c e m benaissa belkacem zeccar</t>
  </si>
  <si>
    <t>c e m sebkhaoui sebkhaoui ain elibel</t>
  </si>
  <si>
    <t>c e m nekak saad ain elibel</t>
  </si>
  <si>
    <t>c em guellil mohamed amra</t>
  </si>
  <si>
    <t>c e m dekia belkhir ain elibel</t>
  </si>
  <si>
    <t>c e m belmiloud selimane taadmit</t>
  </si>
  <si>
    <t>primaire dhayet ouled lakhdar</t>
  </si>
  <si>
    <t>primaire rebih aissa</t>
  </si>
  <si>
    <t>primaire naoui othmane</t>
  </si>
  <si>
    <t>primaire ain nagua</t>
  </si>
  <si>
    <t>primaire djelita mohamed</t>
  </si>
  <si>
    <t>primaire djagdali abdelbaki</t>
  </si>
  <si>
    <t>primaire berromane rabeh</t>
  </si>
  <si>
    <t>primaire demai youcef</t>
  </si>
  <si>
    <t>primaire elaraer</t>
  </si>
  <si>
    <t>primaire legbedj mohamed</t>
  </si>
  <si>
    <t>primaire lekmari ali</t>
  </si>
  <si>
    <t>primaire naama ali</t>
  </si>
  <si>
    <t>primaire oued meslem</t>
  </si>
  <si>
    <t>primaire bouzid mohamed</t>
  </si>
  <si>
    <t>primaire atallah ahmed</t>
  </si>
  <si>
    <t>primaire dahmani dahmane</t>
  </si>
  <si>
    <t>primaire riki ali</t>
  </si>
  <si>
    <t>primaire chikh taher</t>
  </si>
  <si>
    <t>primaire elmarifaa</t>
  </si>
  <si>
    <t>primaire hetatba welguehaguih</t>
  </si>
  <si>
    <t>primaire oued elhadjel</t>
  </si>
  <si>
    <t>primaire  aggoun elaggoune</t>
  </si>
  <si>
    <t>primaire mohamed khemisti</t>
  </si>
  <si>
    <t>primaire hachi belkacem</t>
  </si>
  <si>
    <t>primaire eldjadida amera</t>
  </si>
  <si>
    <t>primaire elhadj mostafa halbaoui</t>
  </si>
  <si>
    <t>primaire guicem messoud</t>
  </si>
  <si>
    <t>primaire touir djedid</t>
  </si>
  <si>
    <t>primaire ben labiadh rabeh</t>
  </si>
  <si>
    <t>primaire lekhnech attia</t>
  </si>
  <si>
    <t>primaire labgaa elhadj lakhdar</t>
  </si>
  <si>
    <t>primaire oued sedar</t>
  </si>
  <si>
    <t>primaire belkak mohamed</t>
  </si>
  <si>
    <t>primaire moussa maarouf</t>
  </si>
  <si>
    <t>primaire nedjimi mebrouk</t>
  </si>
  <si>
    <t>primaire mantikat ishak</t>
  </si>
  <si>
    <t>primaire bensaada mostafa</t>
  </si>
  <si>
    <t>primaire yahiaoui bachir</t>
  </si>
  <si>
    <t>primaire magtaa elouest</t>
  </si>
  <si>
    <t>primaire morhma</t>
  </si>
  <si>
    <t>primaire meguisba</t>
  </si>
  <si>
    <t>primaire djaalab berromane</t>
  </si>
  <si>
    <t>primaire hassibi ali</t>
  </si>
  <si>
    <t>primaire djaalab leghouini</t>
  </si>
  <si>
    <t>primaire  tokersane</t>
  </si>
  <si>
    <t>primaire nethaila</t>
  </si>
  <si>
    <t>primaire harizi harizi</t>
  </si>
  <si>
    <t>primaire madni mohamed</t>
  </si>
  <si>
    <t>primaire elfaidja 1</t>
  </si>
  <si>
    <t>UDS LYCEE HACHI ABDERRAHMANE MESSAAD</t>
  </si>
  <si>
    <t>UDS LYCEE TAHIRI DAHMANE MESSAAD</t>
  </si>
  <si>
    <t>UDS LYCEE ZIANE ACHOUR MESSAAD</t>
  </si>
  <si>
    <t>UDS LYCEE MOSTAFA BENBOULAID MESSAAD</t>
  </si>
  <si>
    <t>UDS CEM BOUEBDELLI DAHMANE MESSAAD</t>
  </si>
  <si>
    <t>UDS CEM LEHZIEL MESSAOUD MESSAAD</t>
  </si>
  <si>
    <t>lycée tahiri dahmane</t>
  </si>
  <si>
    <t>cem benbrahim elhadj</t>
  </si>
  <si>
    <t>cem borchi ahmed</t>
  </si>
  <si>
    <t>cem ghorieb dahmane</t>
  </si>
  <si>
    <t>primaire aboubaker seddik</t>
  </si>
  <si>
    <t>primaire abderrahim mohamed</t>
  </si>
  <si>
    <t>primaire benbrahim dahmane</t>
  </si>
  <si>
    <t>primaire reggada</t>
  </si>
  <si>
    <t>primaire abdelkader ben brahim</t>
  </si>
  <si>
    <t>primaire kerrache elkhadir</t>
  </si>
  <si>
    <t>primaire brahimi amar</t>
  </si>
  <si>
    <t>primaire djeroub kouider</t>
  </si>
  <si>
    <t>primaire mansour brahim</t>
  </si>
  <si>
    <t>lycée ziane achour</t>
  </si>
  <si>
    <t>cem tahiri belkhir</t>
  </si>
  <si>
    <t>cem berabeh khelifa</t>
  </si>
  <si>
    <t>primaire chihab abdellah</t>
  </si>
  <si>
    <t>primaire ben attia miloud</t>
  </si>
  <si>
    <t>primaire tahiri belkacem</t>
  </si>
  <si>
    <t>primaire djeroub thameur</t>
  </si>
  <si>
    <t>primaire khettala</t>
  </si>
  <si>
    <t>primaire chaib elhadj</t>
  </si>
  <si>
    <t>primaire mahcha attia</t>
  </si>
  <si>
    <t>primaire merrouche abdelkader</t>
  </si>
  <si>
    <t>lycée rezazgua elharkati</t>
  </si>
  <si>
    <t>cem lehziel messaoud</t>
  </si>
  <si>
    <t>cem elhani belhadi</t>
  </si>
  <si>
    <t>primaire mostafaoui ferhat</t>
  </si>
  <si>
    <t>primaire si abderrahmane ben taher</t>
  </si>
  <si>
    <t>primaire bouzidi abdelkarim</t>
  </si>
  <si>
    <t>primaire rais mohamed</t>
  </si>
  <si>
    <t>primaire si ahmed benattia</t>
  </si>
  <si>
    <t>primaire mansour abdelkader</t>
  </si>
  <si>
    <t>primaire zitout ahmed</t>
  </si>
  <si>
    <t>primaire bensalem dahmane</t>
  </si>
  <si>
    <r>
      <rPr>
        <sz val="11"/>
        <color theme="1"/>
        <rFont val="Calibri"/>
        <family val="2"/>
        <scheme val="minor"/>
      </rPr>
      <t>primaire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 ali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belmaidi</t>
    </r>
  </si>
  <si>
    <t>primaire mimoun taher benbourahla</t>
  </si>
  <si>
    <t>lycée hassouni ramdane</t>
  </si>
  <si>
    <t>cem bouebdelli dahmane</t>
  </si>
  <si>
    <t>primaire belkhiri maamar</t>
  </si>
  <si>
    <t>primaire ghoul amar</t>
  </si>
  <si>
    <t>primaire elimam said laalmi</t>
  </si>
  <si>
    <t>primaire si mohamed ben ayach</t>
  </si>
  <si>
    <t>primaire 1er novembre</t>
  </si>
  <si>
    <t>primaire dhaya</t>
  </si>
  <si>
    <t>lycée hachi abderrahmane</t>
  </si>
  <si>
    <t>cem chikh taher</t>
  </si>
  <si>
    <t>primaire oubah mohamed</t>
  </si>
  <si>
    <t>primaire layadhi mokhtar</t>
  </si>
  <si>
    <t>primaire belkomari ali</t>
  </si>
  <si>
    <t>primaire sedara tounsi</t>
  </si>
  <si>
    <t>primaire haoua ahmed</t>
  </si>
  <si>
    <t>primaire khenniche ali</t>
  </si>
  <si>
    <t>lycée mostafa benboulaid</t>
  </si>
  <si>
    <t>cem hadj ahmed ben dahmane</t>
  </si>
  <si>
    <t>cem omar ben khattab</t>
  </si>
  <si>
    <t>primaire bensalem abdelaziz</t>
  </si>
  <si>
    <t>primaire dahmane ahmed ben sellami</t>
  </si>
  <si>
    <t>primaire sidi nail</t>
  </si>
  <si>
    <t>primaire selamat ali ben ahmed</t>
  </si>
  <si>
    <t>primaire lagraa mokhtar</t>
  </si>
  <si>
    <t>primaire bebelkacem belkhir</t>
  </si>
  <si>
    <t>lycée djaballah said ben ali</t>
  </si>
  <si>
    <t>p</t>
  </si>
  <si>
    <t>m</t>
  </si>
  <si>
    <t>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</si>
</sst>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implified Arabic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/>
    <xf numFmtId="18" fontId="0" fillId="0" borderId="1" xfId="0" applyNumberFormat="1" applyBorder="1" applyAlignme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8" fontId="0" fillId="0" borderId="2" xfId="0" applyNumberFormat="1" applyBorder="1" applyAlignment="1">
      <alignment horizontal="center"/>
    </xf>
    <xf numFmtId="18" fontId="0" fillId="0" borderId="3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topLeftCell="A37" workbookViewId="0">
      <selection activeCell="O63" sqref="O63"/>
    </sheetView>
  </sheetViews>
  <sheetFormatPr baseColWidth="10" defaultColWidth="9.140625" defaultRowHeight="14.25" customHeight="1"/>
  <cols>
    <col min="1" max="1" width="42.140625" style="19" customWidth="1"/>
    <col min="2" max="2" width="7.140625" style="22" customWidth="1"/>
  </cols>
  <sheetData>
    <row r="1" spans="1:16" ht="14.25" customHeight="1">
      <c r="A1" s="20" t="s">
        <v>14</v>
      </c>
      <c r="B1" s="9"/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5" t="s">
        <v>5</v>
      </c>
      <c r="I1" s="15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</row>
    <row r="2" spans="1:16" ht="14.25" customHeight="1">
      <c r="A2" s="21"/>
      <c r="B2" s="10"/>
      <c r="C2" s="14"/>
      <c r="D2" s="14"/>
      <c r="E2" s="14"/>
      <c r="F2" s="14"/>
      <c r="G2" s="14"/>
      <c r="H2" s="16"/>
      <c r="I2" s="16"/>
      <c r="J2" s="14"/>
      <c r="K2" s="14"/>
      <c r="L2" s="14"/>
      <c r="M2" s="14"/>
      <c r="N2" s="14"/>
      <c r="O2" s="14"/>
      <c r="P2" s="14"/>
    </row>
    <row r="3" spans="1:16" ht="14.25" customHeight="1">
      <c r="A3" s="18" t="s">
        <v>17</v>
      </c>
      <c r="B3" s="4" t="s">
        <v>147</v>
      </c>
      <c r="C3" s="4"/>
      <c r="D3" s="4"/>
      <c r="E3" s="4"/>
      <c r="F3" s="4"/>
      <c r="G3" s="4"/>
      <c r="H3" s="4"/>
      <c r="I3" s="4"/>
      <c r="J3" s="4"/>
      <c r="K3" s="4"/>
      <c r="L3" s="4"/>
      <c r="M3" s="4">
        <v>415</v>
      </c>
      <c r="N3" s="4">
        <v>293</v>
      </c>
      <c r="O3" s="4">
        <v>405</v>
      </c>
      <c r="P3" s="3">
        <f>SUM(M3:O3)</f>
        <v>1113</v>
      </c>
    </row>
    <row r="4" spans="1:16" ht="14.25" customHeight="1">
      <c r="A4" s="18" t="s">
        <v>15</v>
      </c>
      <c r="B4" s="4" t="s">
        <v>147</v>
      </c>
      <c r="C4" s="4"/>
      <c r="D4" s="4"/>
      <c r="E4" s="4"/>
      <c r="F4" s="4"/>
      <c r="G4" s="4"/>
      <c r="H4" s="4"/>
      <c r="I4" s="4"/>
      <c r="J4" s="4"/>
      <c r="K4" s="4"/>
      <c r="L4" s="4"/>
      <c r="M4" s="4">
        <v>181</v>
      </c>
      <c r="N4" s="4">
        <v>132</v>
      </c>
      <c r="O4" s="4">
        <v>155</v>
      </c>
      <c r="P4" s="3">
        <f t="shared" ref="P4:P5" si="0">SUM(M4:O4)</f>
        <v>468</v>
      </c>
    </row>
    <row r="5" spans="1:16" ht="14.25" customHeight="1">
      <c r="A5" s="18" t="s">
        <v>16</v>
      </c>
      <c r="B5" s="4" t="s">
        <v>147</v>
      </c>
      <c r="C5" s="4"/>
      <c r="D5" s="4"/>
      <c r="E5" s="4"/>
      <c r="F5" s="4"/>
      <c r="G5" s="4"/>
      <c r="H5" s="4"/>
      <c r="I5" s="4"/>
      <c r="J5" s="4"/>
      <c r="K5" s="4"/>
      <c r="L5" s="4"/>
      <c r="M5" s="4">
        <v>107</v>
      </c>
      <c r="N5" s="4">
        <v>61</v>
      </c>
      <c r="O5" s="4">
        <v>71</v>
      </c>
      <c r="P5" s="3">
        <f t="shared" si="0"/>
        <v>239</v>
      </c>
    </row>
    <row r="6" spans="1:16" ht="14.25" customHeight="1">
      <c r="A6" s="18" t="s">
        <v>18</v>
      </c>
      <c r="B6" s="4" t="s">
        <v>146</v>
      </c>
      <c r="C6" s="4"/>
      <c r="D6" s="4"/>
      <c r="E6" s="4"/>
      <c r="F6" s="4"/>
      <c r="G6" s="4"/>
      <c r="H6" s="4"/>
      <c r="I6" s="4">
        <v>202</v>
      </c>
      <c r="J6" s="4">
        <v>195</v>
      </c>
      <c r="K6" s="4">
        <v>129</v>
      </c>
      <c r="L6" s="4">
        <v>131</v>
      </c>
      <c r="M6" s="4"/>
      <c r="N6" s="4"/>
      <c r="O6" s="4"/>
      <c r="P6" s="3">
        <f>+I6+J6+K6+L6</f>
        <v>657</v>
      </c>
    </row>
    <row r="7" spans="1:16" ht="14.25" customHeight="1">
      <c r="A7" s="18" t="s">
        <v>19</v>
      </c>
      <c r="B7" s="4" t="s">
        <v>146</v>
      </c>
      <c r="C7" s="4"/>
      <c r="D7" s="4"/>
      <c r="E7" s="4"/>
      <c r="F7" s="4"/>
      <c r="G7" s="4"/>
      <c r="H7" s="4"/>
      <c r="I7" s="4">
        <v>279</v>
      </c>
      <c r="J7" s="4">
        <v>189</v>
      </c>
      <c r="K7" s="4">
        <v>176</v>
      </c>
      <c r="L7" s="4">
        <v>153</v>
      </c>
      <c r="M7" s="4"/>
      <c r="N7" s="4"/>
      <c r="O7" s="4"/>
      <c r="P7" s="3">
        <f t="shared" ref="P7:P14" si="1">+I7+J7+K7+L7</f>
        <v>797</v>
      </c>
    </row>
    <row r="8" spans="1:16" ht="14.25" customHeight="1">
      <c r="A8" s="18" t="s">
        <v>20</v>
      </c>
      <c r="B8" s="4" t="s">
        <v>146</v>
      </c>
      <c r="C8" s="4"/>
      <c r="D8" s="4"/>
      <c r="E8" s="4"/>
      <c r="F8" s="4"/>
      <c r="G8" s="4"/>
      <c r="H8" s="4"/>
      <c r="I8" s="4">
        <v>144</v>
      </c>
      <c r="J8" s="4">
        <v>102</v>
      </c>
      <c r="K8" s="4">
        <v>86</v>
      </c>
      <c r="L8" s="4">
        <v>65</v>
      </c>
      <c r="M8" s="4"/>
      <c r="N8" s="4"/>
      <c r="O8" s="4"/>
      <c r="P8" s="3">
        <f t="shared" si="1"/>
        <v>397</v>
      </c>
    </row>
    <row r="9" spans="1:16" ht="14.25" customHeight="1">
      <c r="A9" s="18" t="s">
        <v>21</v>
      </c>
      <c r="B9" s="4" t="s">
        <v>146</v>
      </c>
      <c r="C9" s="4"/>
      <c r="D9" s="4"/>
      <c r="E9" s="4"/>
      <c r="F9" s="4"/>
      <c r="G9" s="4"/>
      <c r="H9" s="4"/>
      <c r="I9" s="4">
        <v>117</v>
      </c>
      <c r="J9" s="4">
        <v>76</v>
      </c>
      <c r="K9" s="4">
        <v>67</v>
      </c>
      <c r="L9" s="4">
        <v>68</v>
      </c>
      <c r="M9" s="4"/>
      <c r="N9" s="4"/>
      <c r="O9" s="4"/>
      <c r="P9" s="3">
        <f t="shared" si="1"/>
        <v>328</v>
      </c>
    </row>
    <row r="10" spans="1:16" ht="14.25" customHeight="1">
      <c r="A10" s="18" t="s">
        <v>22</v>
      </c>
      <c r="B10" s="4" t="s">
        <v>146</v>
      </c>
      <c r="C10" s="4"/>
      <c r="D10" s="4"/>
      <c r="E10" s="4"/>
      <c r="F10" s="4"/>
      <c r="G10" s="4"/>
      <c r="H10" s="4"/>
      <c r="I10" s="4">
        <v>232</v>
      </c>
      <c r="J10" s="4">
        <v>245</v>
      </c>
      <c r="K10" s="4">
        <v>178</v>
      </c>
      <c r="L10" s="4">
        <v>170</v>
      </c>
      <c r="M10" s="4"/>
      <c r="N10" s="4"/>
      <c r="O10" s="4"/>
      <c r="P10" s="3">
        <f t="shared" si="1"/>
        <v>825</v>
      </c>
    </row>
    <row r="11" spans="1:16" ht="14.25" customHeight="1">
      <c r="A11" s="18" t="s">
        <v>23</v>
      </c>
      <c r="B11" s="4" t="s">
        <v>146</v>
      </c>
      <c r="C11" s="4"/>
      <c r="D11" s="4"/>
      <c r="E11" s="4"/>
      <c r="F11" s="4"/>
      <c r="G11" s="4"/>
      <c r="H11" s="4"/>
      <c r="I11" s="4">
        <v>288</v>
      </c>
      <c r="J11" s="4">
        <v>238</v>
      </c>
      <c r="K11" s="4">
        <v>169</v>
      </c>
      <c r="L11" s="4">
        <v>190</v>
      </c>
      <c r="M11" s="4"/>
      <c r="N11" s="4"/>
      <c r="O11" s="4"/>
      <c r="P11" s="3">
        <f t="shared" si="1"/>
        <v>885</v>
      </c>
    </row>
    <row r="12" spans="1:16" ht="14.25" customHeight="1">
      <c r="A12" s="18" t="s">
        <v>24</v>
      </c>
      <c r="B12" s="4" t="s">
        <v>146</v>
      </c>
      <c r="C12" s="4"/>
      <c r="D12" s="4"/>
      <c r="E12" s="4"/>
      <c r="F12" s="4"/>
      <c r="G12" s="4"/>
      <c r="H12" s="4"/>
      <c r="I12" s="4">
        <v>208</v>
      </c>
      <c r="J12" s="4">
        <v>137</v>
      </c>
      <c r="K12" s="4">
        <v>95</v>
      </c>
      <c r="L12" s="4">
        <v>57</v>
      </c>
      <c r="M12" s="4"/>
      <c r="N12" s="4"/>
      <c r="O12" s="4"/>
      <c r="P12" s="3">
        <f t="shared" si="1"/>
        <v>497</v>
      </c>
    </row>
    <row r="13" spans="1:16" ht="14.25" customHeight="1">
      <c r="A13" s="18" t="s">
        <v>25</v>
      </c>
      <c r="B13" s="4" t="s">
        <v>146</v>
      </c>
      <c r="C13" s="4"/>
      <c r="D13" s="4"/>
      <c r="E13" s="4"/>
      <c r="F13" s="4"/>
      <c r="G13" s="4"/>
      <c r="H13" s="4"/>
      <c r="I13" s="4">
        <v>185</v>
      </c>
      <c r="J13" s="4">
        <v>134</v>
      </c>
      <c r="K13" s="4">
        <v>107</v>
      </c>
      <c r="L13" s="4">
        <v>122</v>
      </c>
      <c r="M13" s="4"/>
      <c r="N13" s="4"/>
      <c r="O13" s="4"/>
      <c r="P13" s="3">
        <f t="shared" si="1"/>
        <v>548</v>
      </c>
    </row>
    <row r="14" spans="1:16" ht="14.25" customHeight="1">
      <c r="A14" s="18" t="s">
        <v>26</v>
      </c>
      <c r="B14" s="4" t="s">
        <v>146</v>
      </c>
      <c r="C14" s="4"/>
      <c r="D14" s="4"/>
      <c r="E14" s="4"/>
      <c r="F14" s="4"/>
      <c r="G14" s="4"/>
      <c r="H14" s="4"/>
      <c r="I14" s="4">
        <v>253</v>
      </c>
      <c r="J14" s="4">
        <v>187</v>
      </c>
      <c r="K14" s="4">
        <v>133</v>
      </c>
      <c r="L14" s="4">
        <v>138</v>
      </c>
      <c r="M14" s="4"/>
      <c r="N14" s="4"/>
      <c r="O14" s="4"/>
      <c r="P14" s="3">
        <f t="shared" si="1"/>
        <v>711</v>
      </c>
    </row>
    <row r="15" spans="1:16" ht="14.25" customHeight="1">
      <c r="A15" s="18" t="s">
        <v>27</v>
      </c>
      <c r="B15" s="4" t="s">
        <v>145</v>
      </c>
      <c r="C15" s="1">
        <v>0</v>
      </c>
      <c r="D15" s="2">
        <v>20</v>
      </c>
      <c r="E15" s="2">
        <v>27</v>
      </c>
      <c r="F15" s="2">
        <v>23</v>
      </c>
      <c r="G15" s="2">
        <v>38</v>
      </c>
      <c r="H15" s="2">
        <v>10</v>
      </c>
      <c r="I15" s="4"/>
      <c r="J15" s="4"/>
      <c r="K15" s="4"/>
      <c r="L15" s="4"/>
      <c r="M15" s="4"/>
      <c r="N15" s="4"/>
      <c r="O15" s="4"/>
      <c r="P15" s="3">
        <f>+C15+D15+E15+F15+G15+H15</f>
        <v>118</v>
      </c>
    </row>
    <row r="16" spans="1:16" ht="14.25" customHeight="1">
      <c r="A16" s="18" t="s">
        <v>28</v>
      </c>
      <c r="B16" s="4" t="s">
        <v>145</v>
      </c>
      <c r="C16" s="1">
        <v>0</v>
      </c>
      <c r="D16" s="2">
        <v>45</v>
      </c>
      <c r="E16" s="2">
        <v>33</v>
      </c>
      <c r="F16" s="2">
        <v>43</v>
      </c>
      <c r="G16" s="2">
        <v>35</v>
      </c>
      <c r="H16" s="2">
        <v>41</v>
      </c>
      <c r="I16" s="4"/>
      <c r="J16" s="4"/>
      <c r="K16" s="4"/>
      <c r="L16" s="4"/>
      <c r="M16" s="4"/>
      <c r="N16" s="4"/>
      <c r="O16" s="4"/>
      <c r="P16" s="3">
        <f t="shared" ref="P16:P63" si="2">+C16+D16+E16+F16+G16+H16</f>
        <v>197</v>
      </c>
    </row>
    <row r="17" spans="1:16" ht="14.25" customHeight="1">
      <c r="A17" s="18" t="s">
        <v>29</v>
      </c>
      <c r="B17" s="4" t="s">
        <v>145</v>
      </c>
      <c r="C17" s="1">
        <v>0</v>
      </c>
      <c r="D17" s="2">
        <v>7</v>
      </c>
      <c r="E17" s="2">
        <v>8</v>
      </c>
      <c r="F17" s="2">
        <v>7</v>
      </c>
      <c r="G17" s="2">
        <v>9</v>
      </c>
      <c r="H17" s="2">
        <v>3</v>
      </c>
      <c r="I17" s="4"/>
      <c r="J17" s="4"/>
      <c r="K17" s="4"/>
      <c r="L17" s="4"/>
      <c r="M17" s="4"/>
      <c r="N17" s="4"/>
      <c r="O17" s="4"/>
      <c r="P17" s="3">
        <f t="shared" si="2"/>
        <v>34</v>
      </c>
    </row>
    <row r="18" spans="1:16" ht="14.25" customHeight="1">
      <c r="A18" s="18" t="s">
        <v>30</v>
      </c>
      <c r="B18" s="4" t="s">
        <v>145</v>
      </c>
      <c r="C18" s="1">
        <v>0</v>
      </c>
      <c r="D18" s="2">
        <v>30</v>
      </c>
      <c r="E18" s="2">
        <v>29</v>
      </c>
      <c r="F18" s="2">
        <v>41</v>
      </c>
      <c r="G18" s="2">
        <v>23</v>
      </c>
      <c r="H18" s="2">
        <v>17</v>
      </c>
      <c r="I18" s="4"/>
      <c r="J18" s="4"/>
      <c r="K18" s="4"/>
      <c r="L18" s="4"/>
      <c r="M18" s="4"/>
      <c r="N18" s="4"/>
      <c r="O18" s="4"/>
      <c r="P18" s="3">
        <f t="shared" si="2"/>
        <v>140</v>
      </c>
    </row>
    <row r="19" spans="1:16" ht="14.25" customHeight="1">
      <c r="A19" s="18" t="s">
        <v>31</v>
      </c>
      <c r="B19" s="4" t="s">
        <v>145</v>
      </c>
      <c r="C19" s="1">
        <v>17</v>
      </c>
      <c r="D19" s="2">
        <v>37</v>
      </c>
      <c r="E19" s="2">
        <v>42</v>
      </c>
      <c r="F19" s="2">
        <v>29</v>
      </c>
      <c r="G19" s="2">
        <v>46</v>
      </c>
      <c r="H19" s="2">
        <v>44</v>
      </c>
      <c r="I19" s="4"/>
      <c r="J19" s="4"/>
      <c r="K19" s="4"/>
      <c r="L19" s="4"/>
      <c r="M19" s="4"/>
      <c r="N19" s="4"/>
      <c r="O19" s="4"/>
      <c r="P19" s="3">
        <f t="shared" si="2"/>
        <v>215</v>
      </c>
    </row>
    <row r="20" spans="1:16" ht="14.25" customHeight="1">
      <c r="A20" s="18" t="s">
        <v>32</v>
      </c>
      <c r="B20" s="4" t="s">
        <v>145</v>
      </c>
      <c r="C20" s="1">
        <v>0</v>
      </c>
      <c r="D20" s="2">
        <v>94</v>
      </c>
      <c r="E20" s="2">
        <v>122</v>
      </c>
      <c r="F20" s="2">
        <v>118</v>
      </c>
      <c r="G20" s="2">
        <v>83</v>
      </c>
      <c r="H20" s="2">
        <v>75</v>
      </c>
      <c r="I20" s="4"/>
      <c r="J20" s="4"/>
      <c r="K20" s="4"/>
      <c r="L20" s="4"/>
      <c r="M20" s="4"/>
      <c r="N20" s="4"/>
      <c r="O20" s="4"/>
      <c r="P20" s="3">
        <f t="shared" si="2"/>
        <v>492</v>
      </c>
    </row>
    <row r="21" spans="1:16" ht="14.25" customHeight="1">
      <c r="A21" s="18" t="s">
        <v>33</v>
      </c>
      <c r="B21" s="4" t="s">
        <v>145</v>
      </c>
      <c r="C21" s="1">
        <v>29</v>
      </c>
      <c r="D21" s="2">
        <v>48</v>
      </c>
      <c r="E21" s="2">
        <v>46</v>
      </c>
      <c r="F21" s="2">
        <v>47</v>
      </c>
      <c r="G21" s="2">
        <v>32</v>
      </c>
      <c r="H21" s="2">
        <v>33</v>
      </c>
      <c r="I21" s="4"/>
      <c r="J21" s="4"/>
      <c r="K21" s="4"/>
      <c r="L21" s="4"/>
      <c r="M21" s="4"/>
      <c r="N21" s="4"/>
      <c r="O21" s="4"/>
      <c r="P21" s="3">
        <f t="shared" si="2"/>
        <v>235</v>
      </c>
    </row>
    <row r="22" spans="1:16" ht="14.25" customHeight="1">
      <c r="A22" s="18" t="s">
        <v>34</v>
      </c>
      <c r="B22" s="4" t="s">
        <v>145</v>
      </c>
      <c r="C22" s="1">
        <v>49</v>
      </c>
      <c r="D22" s="2">
        <v>95</v>
      </c>
      <c r="E22" s="2">
        <v>110</v>
      </c>
      <c r="F22" s="2">
        <v>120</v>
      </c>
      <c r="G22" s="2">
        <v>98</v>
      </c>
      <c r="H22" s="2">
        <v>98</v>
      </c>
      <c r="I22" s="4"/>
      <c r="J22" s="4"/>
      <c r="K22" s="4"/>
      <c r="L22" s="4"/>
      <c r="M22" s="4"/>
      <c r="N22" s="4"/>
      <c r="O22" s="4"/>
      <c r="P22" s="3">
        <f t="shared" si="2"/>
        <v>570</v>
      </c>
    </row>
    <row r="23" spans="1:16" ht="14.25" customHeight="1">
      <c r="A23" s="18" t="s">
        <v>35</v>
      </c>
      <c r="B23" s="4" t="s">
        <v>145</v>
      </c>
      <c r="C23" s="1">
        <v>0</v>
      </c>
      <c r="D23" s="2">
        <v>19</v>
      </c>
      <c r="E23" s="2">
        <v>21</v>
      </c>
      <c r="F23" s="2">
        <v>23</v>
      </c>
      <c r="G23" s="2">
        <v>16</v>
      </c>
      <c r="H23" s="2">
        <v>21</v>
      </c>
      <c r="I23" s="4"/>
      <c r="J23" s="4"/>
      <c r="K23" s="4"/>
      <c r="L23" s="4"/>
      <c r="M23" s="4"/>
      <c r="N23" s="4"/>
      <c r="O23" s="4"/>
      <c r="P23" s="3">
        <f t="shared" si="2"/>
        <v>100</v>
      </c>
    </row>
    <row r="24" spans="1:16" ht="14.25" customHeight="1">
      <c r="A24" s="18" t="s">
        <v>36</v>
      </c>
      <c r="B24" s="4" t="s">
        <v>145</v>
      </c>
      <c r="C24" s="1">
        <v>1</v>
      </c>
      <c r="D24" s="2">
        <v>9</v>
      </c>
      <c r="E24" s="2">
        <v>13</v>
      </c>
      <c r="F24" s="2">
        <v>6</v>
      </c>
      <c r="G24" s="2">
        <v>6</v>
      </c>
      <c r="H24" s="2">
        <v>5</v>
      </c>
      <c r="I24" s="4"/>
      <c r="J24" s="4"/>
      <c r="K24" s="4"/>
      <c r="L24" s="4"/>
      <c r="M24" s="4"/>
      <c r="N24" s="4"/>
      <c r="O24" s="4"/>
      <c r="P24" s="3">
        <f t="shared" si="2"/>
        <v>40</v>
      </c>
    </row>
    <row r="25" spans="1:16" ht="14.25" customHeight="1">
      <c r="A25" s="18" t="s">
        <v>37</v>
      </c>
      <c r="B25" s="4" t="s">
        <v>145</v>
      </c>
      <c r="C25" s="1">
        <v>0</v>
      </c>
      <c r="D25" s="2">
        <v>75</v>
      </c>
      <c r="E25" s="2">
        <v>101</v>
      </c>
      <c r="F25" s="2">
        <v>92</v>
      </c>
      <c r="G25" s="2">
        <v>91</v>
      </c>
      <c r="H25" s="2">
        <v>62</v>
      </c>
      <c r="I25" s="4"/>
      <c r="J25" s="4"/>
      <c r="K25" s="4"/>
      <c r="L25" s="4"/>
      <c r="M25" s="4"/>
      <c r="N25" s="4"/>
      <c r="O25" s="4"/>
      <c r="P25" s="3">
        <f t="shared" si="2"/>
        <v>421</v>
      </c>
    </row>
    <row r="26" spans="1:16" ht="14.25" customHeight="1">
      <c r="A26" s="18" t="s">
        <v>38</v>
      </c>
      <c r="B26" s="4" t="s">
        <v>145</v>
      </c>
      <c r="C26" s="1">
        <v>14</v>
      </c>
      <c r="D26" s="2">
        <v>26</v>
      </c>
      <c r="E26" s="2">
        <v>31</v>
      </c>
      <c r="F26" s="2">
        <v>21</v>
      </c>
      <c r="G26" s="2">
        <v>37</v>
      </c>
      <c r="H26" s="2">
        <v>29</v>
      </c>
      <c r="I26" s="4"/>
      <c r="J26" s="4"/>
      <c r="K26" s="4"/>
      <c r="L26" s="4"/>
      <c r="M26" s="4"/>
      <c r="N26" s="4"/>
      <c r="O26" s="4"/>
      <c r="P26" s="3">
        <f t="shared" si="2"/>
        <v>158</v>
      </c>
    </row>
    <row r="27" spans="1:16" ht="14.25" customHeight="1">
      <c r="A27" s="18" t="s">
        <v>39</v>
      </c>
      <c r="B27" s="4" t="s">
        <v>145</v>
      </c>
      <c r="C27" s="1">
        <v>0</v>
      </c>
      <c r="D27" s="2">
        <v>6</v>
      </c>
      <c r="E27" s="2">
        <v>7</v>
      </c>
      <c r="F27" s="2">
        <v>4</v>
      </c>
      <c r="G27" s="2">
        <v>13</v>
      </c>
      <c r="H27" s="2">
        <v>4</v>
      </c>
      <c r="I27" s="4"/>
      <c r="J27" s="4"/>
      <c r="K27" s="4"/>
      <c r="L27" s="4"/>
      <c r="M27" s="4"/>
      <c r="N27" s="4"/>
      <c r="O27" s="4"/>
      <c r="P27" s="3">
        <f t="shared" si="2"/>
        <v>34</v>
      </c>
    </row>
    <row r="28" spans="1:16" ht="14.25" customHeight="1">
      <c r="A28" s="18" t="s">
        <v>40</v>
      </c>
      <c r="B28" s="4" t="s">
        <v>145</v>
      </c>
      <c r="C28" s="1">
        <v>23</v>
      </c>
      <c r="D28" s="2">
        <v>54</v>
      </c>
      <c r="E28" s="2">
        <v>55</v>
      </c>
      <c r="F28" s="2">
        <v>61</v>
      </c>
      <c r="G28" s="2">
        <v>59</v>
      </c>
      <c r="H28" s="2">
        <v>49</v>
      </c>
      <c r="I28" s="4"/>
      <c r="J28" s="4"/>
      <c r="K28" s="4"/>
      <c r="L28" s="4"/>
      <c r="M28" s="4"/>
      <c r="N28" s="4"/>
      <c r="O28" s="4"/>
      <c r="P28" s="3">
        <f t="shared" si="2"/>
        <v>301</v>
      </c>
    </row>
    <row r="29" spans="1:16" ht="14.25" customHeight="1">
      <c r="A29" s="18" t="s">
        <v>41</v>
      </c>
      <c r="B29" s="4" t="s">
        <v>145</v>
      </c>
      <c r="C29" s="1">
        <v>12</v>
      </c>
      <c r="D29" s="2">
        <v>58</v>
      </c>
      <c r="E29" s="2">
        <v>78</v>
      </c>
      <c r="F29" s="2">
        <v>64</v>
      </c>
      <c r="G29" s="2">
        <v>74</v>
      </c>
      <c r="H29" s="2">
        <v>40</v>
      </c>
      <c r="I29" s="4"/>
      <c r="J29" s="4"/>
      <c r="K29" s="4"/>
      <c r="L29" s="4"/>
      <c r="M29" s="4"/>
      <c r="N29" s="4"/>
      <c r="O29" s="4"/>
      <c r="P29" s="3">
        <f t="shared" si="2"/>
        <v>326</v>
      </c>
    </row>
    <row r="30" spans="1:16" ht="14.25" customHeight="1">
      <c r="A30" s="18" t="s">
        <v>42</v>
      </c>
      <c r="B30" s="4" t="s">
        <v>145</v>
      </c>
      <c r="C30" s="1">
        <v>9</v>
      </c>
      <c r="D30" s="2">
        <v>25</v>
      </c>
      <c r="E30" s="2">
        <v>10</v>
      </c>
      <c r="F30" s="2">
        <v>18</v>
      </c>
      <c r="G30" s="2">
        <v>15</v>
      </c>
      <c r="H30" s="2">
        <v>17</v>
      </c>
      <c r="I30" s="4"/>
      <c r="J30" s="4"/>
      <c r="K30" s="4"/>
      <c r="L30" s="4"/>
      <c r="M30" s="4"/>
      <c r="N30" s="4"/>
      <c r="O30" s="4"/>
      <c r="P30" s="3">
        <f t="shared" si="2"/>
        <v>94</v>
      </c>
    </row>
    <row r="31" spans="1:16" ht="14.25" customHeight="1">
      <c r="A31" s="18" t="s">
        <v>43</v>
      </c>
      <c r="B31" s="4" t="s">
        <v>145</v>
      </c>
      <c r="C31" s="1">
        <v>40</v>
      </c>
      <c r="D31" s="2">
        <v>75</v>
      </c>
      <c r="E31" s="2">
        <v>105</v>
      </c>
      <c r="F31" s="2">
        <v>59</v>
      </c>
      <c r="G31" s="2">
        <v>95</v>
      </c>
      <c r="H31" s="2">
        <v>46</v>
      </c>
      <c r="I31" s="4"/>
      <c r="J31" s="4"/>
      <c r="K31" s="4"/>
      <c r="L31" s="4"/>
      <c r="M31" s="4"/>
      <c r="N31" s="4"/>
      <c r="O31" s="4"/>
      <c r="P31" s="3">
        <f t="shared" si="2"/>
        <v>420</v>
      </c>
    </row>
    <row r="32" spans="1:16" ht="14.25" customHeight="1">
      <c r="A32" s="18" t="s">
        <v>44</v>
      </c>
      <c r="B32" s="4" t="s">
        <v>145</v>
      </c>
      <c r="C32" s="1">
        <v>10</v>
      </c>
      <c r="D32" s="2">
        <v>32</v>
      </c>
      <c r="E32" s="2">
        <v>26</v>
      </c>
      <c r="F32" s="2">
        <v>27</v>
      </c>
      <c r="G32" s="2">
        <v>18</v>
      </c>
      <c r="H32" s="2">
        <v>17</v>
      </c>
      <c r="I32" s="4"/>
      <c r="J32" s="4"/>
      <c r="K32" s="4"/>
      <c r="L32" s="4"/>
      <c r="M32" s="4"/>
      <c r="N32" s="4"/>
      <c r="O32" s="4"/>
      <c r="P32" s="3">
        <f t="shared" si="2"/>
        <v>130</v>
      </c>
    </row>
    <row r="33" spans="1:16" ht="14.25" customHeight="1">
      <c r="A33" s="18" t="s">
        <v>45</v>
      </c>
      <c r="B33" s="4" t="s">
        <v>145</v>
      </c>
      <c r="C33" s="1">
        <v>0</v>
      </c>
      <c r="D33" s="2">
        <v>2</v>
      </c>
      <c r="E33" s="2">
        <v>11</v>
      </c>
      <c r="F33" s="2">
        <v>7</v>
      </c>
      <c r="G33" s="2">
        <v>6</v>
      </c>
      <c r="H33" s="2">
        <v>2</v>
      </c>
      <c r="I33" s="4"/>
      <c r="J33" s="4"/>
      <c r="K33" s="4"/>
      <c r="L33" s="4"/>
      <c r="M33" s="4"/>
      <c r="N33" s="4"/>
      <c r="O33" s="4"/>
      <c r="P33" s="3">
        <f t="shared" si="2"/>
        <v>28</v>
      </c>
    </row>
    <row r="34" spans="1:16" ht="14.25" customHeight="1">
      <c r="A34" s="18" t="s">
        <v>46</v>
      </c>
      <c r="B34" s="4" t="s">
        <v>145</v>
      </c>
      <c r="C34" s="1">
        <v>0</v>
      </c>
      <c r="D34" s="2">
        <v>4</v>
      </c>
      <c r="E34" s="2">
        <v>6</v>
      </c>
      <c r="F34" s="2">
        <v>13</v>
      </c>
      <c r="G34" s="2">
        <v>20</v>
      </c>
      <c r="H34" s="2">
        <v>0</v>
      </c>
      <c r="I34" s="4"/>
      <c r="J34" s="4"/>
      <c r="K34" s="4"/>
      <c r="L34" s="4"/>
      <c r="M34" s="4"/>
      <c r="N34" s="4"/>
      <c r="O34" s="4"/>
      <c r="P34" s="3">
        <f t="shared" si="2"/>
        <v>43</v>
      </c>
    </row>
    <row r="35" spans="1:16" ht="14.25" customHeight="1">
      <c r="A35" s="18" t="s">
        <v>47</v>
      </c>
      <c r="B35" s="4" t="s">
        <v>145</v>
      </c>
      <c r="C35" s="1">
        <v>0</v>
      </c>
      <c r="D35" s="2">
        <v>54</v>
      </c>
      <c r="E35" s="2">
        <v>72</v>
      </c>
      <c r="F35" s="2">
        <v>51</v>
      </c>
      <c r="G35" s="2">
        <v>66</v>
      </c>
      <c r="H35" s="2">
        <v>30</v>
      </c>
      <c r="I35" s="4"/>
      <c r="J35" s="4"/>
      <c r="K35" s="4"/>
      <c r="L35" s="4"/>
      <c r="M35" s="4"/>
      <c r="N35" s="4"/>
      <c r="O35" s="4"/>
      <c r="P35" s="3">
        <f t="shared" si="2"/>
        <v>273</v>
      </c>
    </row>
    <row r="36" spans="1:16" ht="14.25" customHeight="1">
      <c r="A36" s="18" t="s">
        <v>48</v>
      </c>
      <c r="B36" s="4" t="s">
        <v>145</v>
      </c>
      <c r="C36" s="1">
        <v>27</v>
      </c>
      <c r="D36" s="2">
        <v>96</v>
      </c>
      <c r="E36" s="2">
        <v>108</v>
      </c>
      <c r="F36" s="2">
        <v>74</v>
      </c>
      <c r="G36" s="2">
        <v>73</v>
      </c>
      <c r="H36" s="2">
        <v>48</v>
      </c>
      <c r="I36" s="4"/>
      <c r="J36" s="4"/>
      <c r="K36" s="4"/>
      <c r="L36" s="4"/>
      <c r="M36" s="4"/>
      <c r="N36" s="4"/>
      <c r="O36" s="4"/>
      <c r="P36" s="3">
        <f t="shared" si="2"/>
        <v>426</v>
      </c>
    </row>
    <row r="37" spans="1:16" ht="14.25" customHeight="1">
      <c r="A37" s="18" t="s">
        <v>49</v>
      </c>
      <c r="B37" s="4" t="s">
        <v>145</v>
      </c>
      <c r="C37" s="1">
        <v>29</v>
      </c>
      <c r="D37" s="2">
        <v>75</v>
      </c>
      <c r="E37" s="2">
        <v>72</v>
      </c>
      <c r="F37" s="2">
        <v>93</v>
      </c>
      <c r="G37" s="2">
        <v>76</v>
      </c>
      <c r="H37" s="2">
        <v>61</v>
      </c>
      <c r="I37" s="4"/>
      <c r="J37" s="4"/>
      <c r="K37" s="4"/>
      <c r="L37" s="4"/>
      <c r="M37" s="4"/>
      <c r="N37" s="4"/>
      <c r="O37" s="4"/>
      <c r="P37" s="3">
        <f t="shared" si="2"/>
        <v>406</v>
      </c>
    </row>
    <row r="38" spans="1:16" ht="14.25" customHeight="1">
      <c r="A38" s="18" t="s">
        <v>50</v>
      </c>
      <c r="B38" s="4" t="s">
        <v>145</v>
      </c>
      <c r="C38" s="1">
        <v>39</v>
      </c>
      <c r="D38" s="2">
        <v>61</v>
      </c>
      <c r="E38" s="2">
        <v>81</v>
      </c>
      <c r="F38" s="2">
        <v>60</v>
      </c>
      <c r="G38" s="2">
        <v>60</v>
      </c>
      <c r="H38" s="2">
        <v>47</v>
      </c>
      <c r="I38" s="4"/>
      <c r="J38" s="4"/>
      <c r="K38" s="4"/>
      <c r="L38" s="4"/>
      <c r="M38" s="4"/>
      <c r="N38" s="4"/>
      <c r="O38" s="4"/>
      <c r="P38" s="3">
        <f t="shared" si="2"/>
        <v>348</v>
      </c>
    </row>
    <row r="39" spans="1:16" ht="14.25" customHeight="1">
      <c r="A39" s="18" t="s">
        <v>51</v>
      </c>
      <c r="B39" s="4" t="s">
        <v>145</v>
      </c>
      <c r="C39" s="1">
        <v>28</v>
      </c>
      <c r="D39" s="2">
        <v>120</v>
      </c>
      <c r="E39" s="2">
        <v>111</v>
      </c>
      <c r="F39" s="2">
        <v>120</v>
      </c>
      <c r="G39" s="2">
        <v>85</v>
      </c>
      <c r="H39" s="2">
        <v>62</v>
      </c>
      <c r="I39" s="4"/>
      <c r="J39" s="4"/>
      <c r="K39" s="4"/>
      <c r="L39" s="4"/>
      <c r="M39" s="4"/>
      <c r="N39" s="4"/>
      <c r="O39" s="4"/>
      <c r="P39" s="3">
        <f t="shared" si="2"/>
        <v>526</v>
      </c>
    </row>
    <row r="40" spans="1:16" ht="14.25" customHeight="1">
      <c r="A40" s="18" t="s">
        <v>52</v>
      </c>
      <c r="B40" s="4" t="s">
        <v>145</v>
      </c>
      <c r="C40" s="1">
        <v>37</v>
      </c>
      <c r="D40" s="2">
        <v>62</v>
      </c>
      <c r="E40" s="2">
        <v>66</v>
      </c>
      <c r="F40" s="2">
        <v>63</v>
      </c>
      <c r="G40" s="2">
        <v>60</v>
      </c>
      <c r="H40" s="2">
        <v>61</v>
      </c>
      <c r="I40" s="4"/>
      <c r="J40" s="4"/>
      <c r="K40" s="4"/>
      <c r="L40" s="4"/>
      <c r="M40" s="4"/>
      <c r="N40" s="4"/>
      <c r="O40" s="4"/>
      <c r="P40" s="3">
        <f t="shared" si="2"/>
        <v>349</v>
      </c>
    </row>
    <row r="41" spans="1:16" ht="14.25" customHeight="1">
      <c r="A41" s="18" t="s">
        <v>53</v>
      </c>
      <c r="B41" s="4" t="s">
        <v>145</v>
      </c>
      <c r="C41" s="1">
        <v>0</v>
      </c>
      <c r="D41" s="2">
        <v>19</v>
      </c>
      <c r="E41" s="2">
        <v>30</v>
      </c>
      <c r="F41" s="2">
        <v>31</v>
      </c>
      <c r="G41" s="2">
        <v>25</v>
      </c>
      <c r="H41" s="2">
        <v>15</v>
      </c>
      <c r="I41" s="4"/>
      <c r="J41" s="4"/>
      <c r="K41" s="4"/>
      <c r="L41" s="4"/>
      <c r="M41" s="4"/>
      <c r="N41" s="4"/>
      <c r="O41" s="4"/>
      <c r="P41" s="3">
        <f t="shared" si="2"/>
        <v>120</v>
      </c>
    </row>
    <row r="42" spans="1:16" ht="14.25" customHeight="1">
      <c r="A42" s="18" t="s">
        <v>54</v>
      </c>
      <c r="B42" s="4" t="s">
        <v>145</v>
      </c>
      <c r="C42" s="1">
        <v>44</v>
      </c>
      <c r="D42" s="2">
        <v>73</v>
      </c>
      <c r="E42" s="2">
        <v>95</v>
      </c>
      <c r="F42" s="2">
        <v>94</v>
      </c>
      <c r="G42" s="2">
        <v>84</v>
      </c>
      <c r="H42" s="2">
        <v>61</v>
      </c>
      <c r="I42" s="4"/>
      <c r="J42" s="4"/>
      <c r="K42" s="4"/>
      <c r="L42" s="4"/>
      <c r="M42" s="4"/>
      <c r="N42" s="4"/>
      <c r="O42" s="4"/>
      <c r="P42" s="3">
        <f t="shared" si="2"/>
        <v>451</v>
      </c>
    </row>
    <row r="43" spans="1:16" ht="14.25" customHeight="1">
      <c r="A43" s="18" t="s">
        <v>55</v>
      </c>
      <c r="B43" s="4" t="s">
        <v>145</v>
      </c>
      <c r="C43" s="1">
        <v>43</v>
      </c>
      <c r="D43" s="2">
        <v>62</v>
      </c>
      <c r="E43" s="2">
        <v>69</v>
      </c>
      <c r="F43" s="2">
        <v>95</v>
      </c>
      <c r="G43" s="2">
        <v>75</v>
      </c>
      <c r="H43" s="2">
        <v>52</v>
      </c>
      <c r="I43" s="4"/>
      <c r="J43" s="4"/>
      <c r="K43" s="4"/>
      <c r="L43" s="4"/>
      <c r="M43" s="4"/>
      <c r="N43" s="4"/>
      <c r="O43" s="4"/>
      <c r="P43" s="3">
        <f t="shared" si="2"/>
        <v>396</v>
      </c>
    </row>
    <row r="44" spans="1:16" ht="14.25" customHeight="1">
      <c r="A44" s="18" t="s">
        <v>56</v>
      </c>
      <c r="B44" s="4" t="s">
        <v>145</v>
      </c>
      <c r="C44" s="1">
        <v>29</v>
      </c>
      <c r="D44" s="2">
        <v>35</v>
      </c>
      <c r="E44" s="2">
        <v>60</v>
      </c>
      <c r="F44" s="2">
        <v>45</v>
      </c>
      <c r="G44" s="2">
        <v>56</v>
      </c>
      <c r="H44" s="2">
        <v>53</v>
      </c>
      <c r="I44" s="4"/>
      <c r="J44" s="4"/>
      <c r="K44" s="4"/>
      <c r="L44" s="4"/>
      <c r="M44" s="4"/>
      <c r="N44" s="4"/>
      <c r="O44" s="4"/>
      <c r="P44" s="3">
        <f t="shared" si="2"/>
        <v>278</v>
      </c>
    </row>
    <row r="45" spans="1:16" ht="14.25" customHeight="1">
      <c r="A45" s="18" t="s">
        <v>57</v>
      </c>
      <c r="B45" s="4" t="s">
        <v>145</v>
      </c>
      <c r="C45" s="1">
        <v>31</v>
      </c>
      <c r="D45" s="2">
        <v>53</v>
      </c>
      <c r="E45" s="2">
        <v>71</v>
      </c>
      <c r="F45" s="2">
        <v>47</v>
      </c>
      <c r="G45" s="2">
        <v>48</v>
      </c>
      <c r="H45" s="2">
        <v>51</v>
      </c>
      <c r="I45" s="4"/>
      <c r="J45" s="4"/>
      <c r="K45" s="4"/>
      <c r="L45" s="4"/>
      <c r="M45" s="4"/>
      <c r="N45" s="4"/>
      <c r="O45" s="4"/>
      <c r="P45" s="3">
        <f t="shared" si="2"/>
        <v>301</v>
      </c>
    </row>
    <row r="46" spans="1:16" ht="14.25" customHeight="1">
      <c r="A46" s="18" t="s">
        <v>58</v>
      </c>
      <c r="B46" s="4" t="s">
        <v>145</v>
      </c>
      <c r="C46" s="1">
        <v>11</v>
      </c>
      <c r="D46" s="2">
        <v>17</v>
      </c>
      <c r="E46" s="2">
        <v>21</v>
      </c>
      <c r="F46" s="2">
        <v>21</v>
      </c>
      <c r="G46" s="2">
        <v>13</v>
      </c>
      <c r="H46" s="2">
        <v>23</v>
      </c>
      <c r="I46" s="4"/>
      <c r="J46" s="4"/>
      <c r="K46" s="4"/>
      <c r="L46" s="4"/>
      <c r="M46" s="4"/>
      <c r="N46" s="4"/>
      <c r="O46" s="4"/>
      <c r="P46" s="3">
        <f t="shared" si="2"/>
        <v>106</v>
      </c>
    </row>
    <row r="47" spans="1:16" ht="14.25" customHeight="1">
      <c r="A47" s="18" t="s">
        <v>59</v>
      </c>
      <c r="B47" s="4" t="s">
        <v>145</v>
      </c>
      <c r="C47" s="1">
        <v>0</v>
      </c>
      <c r="D47" s="2">
        <v>55</v>
      </c>
      <c r="E47" s="2">
        <v>68</v>
      </c>
      <c r="F47" s="2">
        <v>63</v>
      </c>
      <c r="G47" s="2">
        <v>62</v>
      </c>
      <c r="H47" s="2">
        <v>59</v>
      </c>
      <c r="I47" s="4"/>
      <c r="J47" s="4"/>
      <c r="K47" s="4"/>
      <c r="L47" s="4"/>
      <c r="M47" s="4"/>
      <c r="N47" s="4"/>
      <c r="O47" s="4"/>
      <c r="P47" s="3">
        <f t="shared" si="2"/>
        <v>307</v>
      </c>
    </row>
    <row r="48" spans="1:16" ht="14.25" customHeight="1">
      <c r="A48" s="18" t="s">
        <v>60</v>
      </c>
      <c r="B48" s="4" t="s">
        <v>145</v>
      </c>
      <c r="C48" s="1">
        <v>26</v>
      </c>
      <c r="D48" s="2">
        <v>42</v>
      </c>
      <c r="E48" s="2">
        <v>76</v>
      </c>
      <c r="F48" s="2">
        <v>51</v>
      </c>
      <c r="G48" s="2">
        <v>55</v>
      </c>
      <c r="H48" s="2">
        <v>59</v>
      </c>
      <c r="I48" s="4"/>
      <c r="J48" s="4"/>
      <c r="K48" s="4"/>
      <c r="L48" s="4"/>
      <c r="M48" s="4"/>
      <c r="N48" s="4"/>
      <c r="O48" s="4"/>
      <c r="P48" s="3">
        <f t="shared" si="2"/>
        <v>309</v>
      </c>
    </row>
    <row r="49" spans="1:16" ht="14.25" customHeight="1">
      <c r="A49" s="18" t="s">
        <v>61</v>
      </c>
      <c r="B49" s="4" t="s">
        <v>145</v>
      </c>
      <c r="C49" s="1">
        <v>49</v>
      </c>
      <c r="D49" s="2">
        <v>75</v>
      </c>
      <c r="E49" s="2">
        <v>103</v>
      </c>
      <c r="F49" s="2">
        <v>91</v>
      </c>
      <c r="G49" s="2">
        <v>81</v>
      </c>
      <c r="H49" s="2">
        <v>57</v>
      </c>
      <c r="I49" s="4"/>
      <c r="J49" s="4"/>
      <c r="K49" s="4"/>
      <c r="L49" s="4"/>
      <c r="M49" s="4"/>
      <c r="N49" s="4"/>
      <c r="O49" s="4"/>
      <c r="P49" s="3">
        <f t="shared" si="2"/>
        <v>456</v>
      </c>
    </row>
    <row r="50" spans="1:16" ht="14.25" customHeight="1">
      <c r="A50" s="18" t="s">
        <v>62</v>
      </c>
      <c r="B50" s="4" t="s">
        <v>145</v>
      </c>
      <c r="C50" s="1">
        <v>0</v>
      </c>
      <c r="D50" s="2">
        <v>16</v>
      </c>
      <c r="E50" s="2">
        <v>27</v>
      </c>
      <c r="F50" s="2">
        <v>18</v>
      </c>
      <c r="G50" s="2">
        <v>20</v>
      </c>
      <c r="H50" s="2">
        <v>10</v>
      </c>
      <c r="I50" s="4"/>
      <c r="J50" s="4"/>
      <c r="K50" s="4"/>
      <c r="L50" s="4"/>
      <c r="M50" s="4"/>
      <c r="N50" s="4"/>
      <c r="O50" s="4"/>
      <c r="P50" s="3">
        <f t="shared" si="2"/>
        <v>91</v>
      </c>
    </row>
    <row r="51" spans="1:16" ht="14.25" customHeight="1">
      <c r="A51" s="18" t="s">
        <v>63</v>
      </c>
      <c r="B51" s="4" t="s">
        <v>145</v>
      </c>
      <c r="C51" s="1">
        <v>0</v>
      </c>
      <c r="D51" s="2">
        <v>6</v>
      </c>
      <c r="E51" s="2">
        <v>5</v>
      </c>
      <c r="F51" s="2">
        <v>6</v>
      </c>
      <c r="G51" s="2">
        <v>6</v>
      </c>
      <c r="H51" s="2">
        <v>1</v>
      </c>
      <c r="I51" s="4"/>
      <c r="J51" s="4"/>
      <c r="K51" s="4"/>
      <c r="L51" s="4"/>
      <c r="M51" s="4"/>
      <c r="N51" s="4"/>
      <c r="O51" s="4"/>
      <c r="P51" s="3">
        <f t="shared" si="2"/>
        <v>24</v>
      </c>
    </row>
    <row r="52" spans="1:16" ht="14.25" customHeight="1">
      <c r="A52" s="18" t="s">
        <v>64</v>
      </c>
      <c r="B52" s="4" t="s">
        <v>145</v>
      </c>
      <c r="C52" s="1">
        <v>13</v>
      </c>
      <c r="D52" s="2">
        <v>22</v>
      </c>
      <c r="E52" s="2">
        <v>31</v>
      </c>
      <c r="F52" s="2">
        <v>28</v>
      </c>
      <c r="G52" s="2">
        <v>30</v>
      </c>
      <c r="H52" s="2">
        <v>27</v>
      </c>
      <c r="I52" s="4"/>
      <c r="J52" s="4"/>
      <c r="K52" s="4"/>
      <c r="L52" s="4"/>
      <c r="M52" s="4"/>
      <c r="N52" s="4"/>
      <c r="O52" s="4"/>
      <c r="P52" s="3">
        <f t="shared" si="2"/>
        <v>151</v>
      </c>
    </row>
    <row r="53" spans="1:16" ht="14.25" customHeight="1">
      <c r="A53" s="18" t="s">
        <v>65</v>
      </c>
      <c r="B53" s="4" t="s">
        <v>145</v>
      </c>
      <c r="C53" s="1">
        <v>0</v>
      </c>
      <c r="D53" s="2">
        <v>67</v>
      </c>
      <c r="E53" s="2">
        <v>96</v>
      </c>
      <c r="F53" s="2">
        <v>94</v>
      </c>
      <c r="G53" s="2">
        <v>68</v>
      </c>
      <c r="H53" s="2">
        <v>54</v>
      </c>
      <c r="I53" s="4"/>
      <c r="J53" s="4"/>
      <c r="K53" s="4"/>
      <c r="L53" s="4"/>
      <c r="M53" s="4"/>
      <c r="N53" s="4"/>
      <c r="O53" s="4"/>
      <c r="P53" s="3">
        <f t="shared" si="2"/>
        <v>379</v>
      </c>
    </row>
    <row r="54" spans="1:16" ht="14.25" customHeight="1">
      <c r="A54" s="18" t="s">
        <v>66</v>
      </c>
      <c r="B54" s="4" t="s">
        <v>145</v>
      </c>
      <c r="C54" s="1">
        <v>0</v>
      </c>
      <c r="D54" s="2">
        <v>9</v>
      </c>
      <c r="E54" s="2">
        <v>5</v>
      </c>
      <c r="F54" s="2">
        <v>5</v>
      </c>
      <c r="G54" s="2">
        <v>5</v>
      </c>
      <c r="H54" s="2">
        <v>9</v>
      </c>
      <c r="I54" s="4"/>
      <c r="J54" s="4"/>
      <c r="K54" s="4"/>
      <c r="L54" s="4"/>
      <c r="M54" s="4"/>
      <c r="N54" s="4"/>
      <c r="O54" s="4"/>
      <c r="P54" s="3">
        <f t="shared" si="2"/>
        <v>33</v>
      </c>
    </row>
    <row r="55" spans="1:16" ht="14.25" customHeight="1">
      <c r="A55" s="18" t="s">
        <v>67</v>
      </c>
      <c r="B55" s="4" t="s">
        <v>145</v>
      </c>
      <c r="C55" s="1">
        <v>0</v>
      </c>
      <c r="D55" s="2">
        <v>5</v>
      </c>
      <c r="E55" s="2">
        <v>10</v>
      </c>
      <c r="F55" s="2">
        <v>4</v>
      </c>
      <c r="G55" s="2">
        <v>2</v>
      </c>
      <c r="H55" s="2">
        <v>7</v>
      </c>
      <c r="I55" s="4"/>
      <c r="J55" s="4"/>
      <c r="K55" s="4"/>
      <c r="L55" s="4"/>
      <c r="M55" s="4"/>
      <c r="N55" s="4"/>
      <c r="O55" s="4"/>
      <c r="P55" s="3">
        <f t="shared" si="2"/>
        <v>28</v>
      </c>
    </row>
    <row r="56" spans="1:16" ht="14.25" customHeight="1">
      <c r="A56" s="18" t="s">
        <v>68</v>
      </c>
      <c r="B56" s="4" t="s">
        <v>145</v>
      </c>
      <c r="C56" s="1">
        <v>24</v>
      </c>
      <c r="D56" s="2">
        <v>52</v>
      </c>
      <c r="E56" s="2">
        <v>45</v>
      </c>
      <c r="F56" s="2">
        <v>54</v>
      </c>
      <c r="G56" s="2">
        <v>41</v>
      </c>
      <c r="H56" s="2">
        <v>30</v>
      </c>
      <c r="I56" s="4"/>
      <c r="J56" s="4"/>
      <c r="K56" s="4"/>
      <c r="L56" s="4"/>
      <c r="M56" s="4"/>
      <c r="N56" s="4"/>
      <c r="O56" s="4"/>
      <c r="P56" s="3">
        <f t="shared" si="2"/>
        <v>246</v>
      </c>
    </row>
    <row r="57" spans="1:16" ht="14.25" customHeight="1">
      <c r="A57" s="18" t="s">
        <v>69</v>
      </c>
      <c r="B57" s="4" t="s">
        <v>145</v>
      </c>
      <c r="C57" s="1">
        <v>15</v>
      </c>
      <c r="D57" s="2">
        <v>31</v>
      </c>
      <c r="E57" s="2">
        <v>32</v>
      </c>
      <c r="F57" s="2">
        <v>24</v>
      </c>
      <c r="G57" s="2">
        <v>15</v>
      </c>
      <c r="H57" s="2">
        <v>25</v>
      </c>
      <c r="I57" s="4"/>
      <c r="J57" s="4"/>
      <c r="K57" s="4"/>
      <c r="L57" s="4"/>
      <c r="M57" s="4"/>
      <c r="N57" s="4"/>
      <c r="O57" s="4"/>
      <c r="P57" s="3">
        <f t="shared" si="2"/>
        <v>142</v>
      </c>
    </row>
    <row r="58" spans="1:16" ht="14.25" customHeight="1">
      <c r="A58" s="18" t="s">
        <v>70</v>
      </c>
      <c r="B58" s="4" t="s">
        <v>145</v>
      </c>
      <c r="C58" s="1">
        <v>43</v>
      </c>
      <c r="D58" s="2">
        <v>52</v>
      </c>
      <c r="E58" s="2">
        <v>64</v>
      </c>
      <c r="F58" s="2">
        <v>57</v>
      </c>
      <c r="G58" s="2">
        <v>75</v>
      </c>
      <c r="H58" s="2">
        <v>43</v>
      </c>
      <c r="I58" s="4"/>
      <c r="J58" s="4"/>
      <c r="K58" s="4"/>
      <c r="L58" s="4"/>
      <c r="M58" s="4"/>
      <c r="N58" s="4"/>
      <c r="O58" s="4"/>
      <c r="P58" s="3">
        <f t="shared" si="2"/>
        <v>334</v>
      </c>
    </row>
    <row r="59" spans="1:16" ht="14.25" customHeight="1">
      <c r="A59" s="18" t="s">
        <v>71</v>
      </c>
      <c r="B59" s="4" t="s">
        <v>145</v>
      </c>
      <c r="C59" s="1">
        <v>0</v>
      </c>
      <c r="D59" s="2">
        <v>14</v>
      </c>
      <c r="E59" s="2">
        <v>13</v>
      </c>
      <c r="F59" s="2">
        <v>16</v>
      </c>
      <c r="G59" s="2">
        <v>0</v>
      </c>
      <c r="H59" s="2">
        <v>17</v>
      </c>
      <c r="I59" s="4"/>
      <c r="J59" s="4"/>
      <c r="K59" s="4"/>
      <c r="L59" s="4"/>
      <c r="M59" s="4"/>
      <c r="N59" s="4"/>
      <c r="O59" s="4"/>
      <c r="P59" s="3">
        <f t="shared" si="2"/>
        <v>60</v>
      </c>
    </row>
    <row r="60" spans="1:16" ht="14.25" customHeight="1">
      <c r="A60" s="18" t="s">
        <v>72</v>
      </c>
      <c r="B60" s="4" t="s">
        <v>145</v>
      </c>
      <c r="C60" s="1">
        <v>14</v>
      </c>
      <c r="D60" s="2">
        <v>35</v>
      </c>
      <c r="E60" s="2">
        <v>45</v>
      </c>
      <c r="F60" s="2">
        <v>42</v>
      </c>
      <c r="G60" s="2">
        <v>29</v>
      </c>
      <c r="H60" s="2">
        <v>29</v>
      </c>
      <c r="I60" s="4"/>
      <c r="J60" s="4"/>
      <c r="K60" s="4"/>
      <c r="L60" s="4"/>
      <c r="M60" s="4"/>
      <c r="N60" s="4"/>
      <c r="O60" s="4"/>
      <c r="P60" s="3">
        <f t="shared" si="2"/>
        <v>194</v>
      </c>
    </row>
    <row r="61" spans="1:16" ht="14.25" customHeight="1">
      <c r="A61" s="18" t="s">
        <v>73</v>
      </c>
      <c r="B61" s="4" t="s">
        <v>145</v>
      </c>
      <c r="C61" s="1">
        <v>0</v>
      </c>
      <c r="D61" s="2">
        <v>8</v>
      </c>
      <c r="E61" s="2">
        <v>18</v>
      </c>
      <c r="F61" s="2">
        <v>11</v>
      </c>
      <c r="G61" s="2">
        <v>14</v>
      </c>
      <c r="H61" s="2">
        <v>13</v>
      </c>
      <c r="I61" s="4"/>
      <c r="J61" s="4"/>
      <c r="K61" s="4"/>
      <c r="L61" s="4"/>
      <c r="M61" s="4"/>
      <c r="N61" s="4"/>
      <c r="O61" s="4"/>
      <c r="P61" s="3">
        <f t="shared" si="2"/>
        <v>64</v>
      </c>
    </row>
    <row r="62" spans="1:16" ht="14.25" customHeight="1">
      <c r="A62" s="18" t="s">
        <v>74</v>
      </c>
      <c r="B62" s="4" t="s">
        <v>145</v>
      </c>
      <c r="C62" s="1">
        <v>24</v>
      </c>
      <c r="D62" s="2">
        <v>23</v>
      </c>
      <c r="E62" s="2">
        <v>34</v>
      </c>
      <c r="F62" s="2">
        <v>14</v>
      </c>
      <c r="G62" s="2">
        <v>19</v>
      </c>
      <c r="H62" s="2">
        <v>10</v>
      </c>
      <c r="I62" s="4"/>
      <c r="J62" s="4"/>
      <c r="K62" s="4"/>
      <c r="L62" s="4"/>
      <c r="M62" s="4"/>
      <c r="N62" s="4"/>
      <c r="O62" s="4"/>
      <c r="P62" s="3">
        <f t="shared" si="2"/>
        <v>124</v>
      </c>
    </row>
    <row r="63" spans="1:16" ht="14.25" customHeight="1">
      <c r="A63" s="18" t="s">
        <v>75</v>
      </c>
      <c r="B63" s="4" t="s">
        <v>145</v>
      </c>
      <c r="C63" s="1">
        <v>0</v>
      </c>
      <c r="D63" s="2">
        <v>7</v>
      </c>
      <c r="E63" s="2">
        <v>7</v>
      </c>
      <c r="F63" s="2">
        <v>10</v>
      </c>
      <c r="G63" s="2">
        <v>5</v>
      </c>
      <c r="H63" s="2">
        <v>7</v>
      </c>
      <c r="I63" s="4"/>
      <c r="J63" s="4"/>
      <c r="K63" s="4"/>
      <c r="L63" s="4"/>
      <c r="M63" s="4"/>
      <c r="N63" s="4"/>
      <c r="O63" s="4"/>
      <c r="P63" s="3">
        <f t="shared" si="2"/>
        <v>36</v>
      </c>
    </row>
    <row r="64" spans="1:16" ht="14.25" customHeight="1">
      <c r="A64" s="18" t="s">
        <v>13</v>
      </c>
      <c r="B64" s="4"/>
      <c r="C64" s="4">
        <f>SUM(C15:C63)</f>
        <v>730</v>
      </c>
      <c r="D64" s="4">
        <f t="shared" ref="D64:H64" si="3">SUM(D15:D63)</f>
        <v>2007</v>
      </c>
      <c r="E64" s="4">
        <f t="shared" si="3"/>
        <v>2416</v>
      </c>
      <c r="F64" s="4">
        <f t="shared" si="3"/>
        <v>2205</v>
      </c>
      <c r="G64" s="4">
        <f t="shared" si="3"/>
        <v>2062</v>
      </c>
      <c r="H64" s="4">
        <f t="shared" si="3"/>
        <v>1634</v>
      </c>
      <c r="I64" s="4">
        <f>+I6+I7+I8+I9+I10+I11+I12+I13+I14</f>
        <v>1908</v>
      </c>
      <c r="J64" s="4">
        <f t="shared" ref="J64:L64" si="4">+J6+J7+J8+J9+J10+J11+J12+J13+J14</f>
        <v>1503</v>
      </c>
      <c r="K64" s="4">
        <f t="shared" si="4"/>
        <v>1140</v>
      </c>
      <c r="L64" s="4">
        <f t="shared" si="4"/>
        <v>1094</v>
      </c>
      <c r="M64" s="4">
        <f>M3+M4+M5</f>
        <v>703</v>
      </c>
      <c r="N64" s="4">
        <f t="shared" ref="N64:O64" si="5">N3+N4+N5</f>
        <v>486</v>
      </c>
      <c r="O64" s="4">
        <f t="shared" si="5"/>
        <v>631</v>
      </c>
      <c r="P64" s="3">
        <f>SUM(P3:P63)</f>
        <v>18519</v>
      </c>
    </row>
  </sheetData>
  <mergeCells count="15">
    <mergeCell ref="G1:G2"/>
    <mergeCell ref="A1:A2"/>
    <mergeCell ref="C1:C2"/>
    <mergeCell ref="D1:D2"/>
    <mergeCell ref="E1:E2"/>
    <mergeCell ref="F1:F2"/>
    <mergeCell ref="N1:N2"/>
    <mergeCell ref="O1:O2"/>
    <mergeCell ref="P1:P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>
      <selection activeCell="B3" sqref="B3"/>
    </sheetView>
  </sheetViews>
  <sheetFormatPr baseColWidth="10" defaultColWidth="9.140625" defaultRowHeight="15"/>
  <cols>
    <col min="1" max="1" width="42.140625" style="19" customWidth="1"/>
    <col min="2" max="2" width="7.85546875" style="22" customWidth="1"/>
  </cols>
  <sheetData>
    <row r="1" spans="1:16">
      <c r="A1" s="17" t="s">
        <v>76</v>
      </c>
      <c r="B1" s="6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>
      <c r="A2" s="18" t="s">
        <v>127</v>
      </c>
      <c r="B2" s="4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>
        <v>505</v>
      </c>
      <c r="N2" s="4">
        <v>429</v>
      </c>
      <c r="O2" s="4">
        <v>458</v>
      </c>
      <c r="P2" s="4">
        <v>1392</v>
      </c>
    </row>
    <row r="3" spans="1:16">
      <c r="A3" s="18" t="s">
        <v>128</v>
      </c>
      <c r="B3" s="4" t="s">
        <v>146</v>
      </c>
      <c r="C3" s="4"/>
      <c r="D3" s="4"/>
      <c r="E3" s="4"/>
      <c r="F3" s="4"/>
      <c r="G3" s="4"/>
      <c r="H3" s="4"/>
      <c r="I3" s="4">
        <v>307</v>
      </c>
      <c r="J3" s="4">
        <v>378</v>
      </c>
      <c r="K3" s="4">
        <v>302</v>
      </c>
      <c r="L3" s="4">
        <v>302</v>
      </c>
      <c r="M3" s="4"/>
      <c r="N3" s="4"/>
      <c r="O3" s="4"/>
      <c r="P3" s="4">
        <v>1289</v>
      </c>
    </row>
    <row r="4" spans="1:16">
      <c r="A4" s="18" t="s">
        <v>129</v>
      </c>
      <c r="B4" s="4" t="s">
        <v>145</v>
      </c>
      <c r="C4" s="4">
        <v>0</v>
      </c>
      <c r="D4" s="4">
        <v>105</v>
      </c>
      <c r="E4" s="4">
        <v>140</v>
      </c>
      <c r="F4" s="4">
        <v>135</v>
      </c>
      <c r="G4" s="4">
        <v>140</v>
      </c>
      <c r="H4" s="4">
        <v>150</v>
      </c>
      <c r="I4" s="4"/>
      <c r="J4" s="4"/>
      <c r="K4" s="4"/>
      <c r="L4" s="4"/>
      <c r="M4" s="4"/>
      <c r="N4" s="4"/>
      <c r="O4" s="4"/>
      <c r="P4" s="4">
        <v>670</v>
      </c>
    </row>
    <row r="5" spans="1:16">
      <c r="A5" s="18" t="s">
        <v>130</v>
      </c>
      <c r="B5" s="4" t="s">
        <v>145</v>
      </c>
      <c r="C5" s="4">
        <v>80</v>
      </c>
      <c r="D5" s="4">
        <v>130</v>
      </c>
      <c r="E5" s="4">
        <v>175</v>
      </c>
      <c r="F5" s="4">
        <v>134</v>
      </c>
      <c r="G5" s="4">
        <v>126</v>
      </c>
      <c r="H5" s="4">
        <v>131</v>
      </c>
      <c r="I5" s="4"/>
      <c r="J5" s="4"/>
      <c r="K5" s="4"/>
      <c r="L5" s="4"/>
      <c r="M5" s="4"/>
      <c r="N5" s="4"/>
      <c r="O5" s="4"/>
      <c r="P5" s="4">
        <v>776</v>
      </c>
    </row>
    <row r="6" spans="1:16">
      <c r="A6" s="18" t="s">
        <v>131</v>
      </c>
      <c r="B6" s="4" t="s">
        <v>145</v>
      </c>
      <c r="C6" s="4">
        <v>25</v>
      </c>
      <c r="D6" s="4">
        <v>30</v>
      </c>
      <c r="E6" s="4">
        <v>32</v>
      </c>
      <c r="F6" s="4">
        <v>19</v>
      </c>
      <c r="G6" s="4">
        <v>22</v>
      </c>
      <c r="H6" s="4">
        <v>27</v>
      </c>
      <c r="I6" s="4"/>
      <c r="J6" s="4"/>
      <c r="K6" s="4"/>
      <c r="L6" s="4"/>
      <c r="M6" s="4"/>
      <c r="N6" s="4"/>
      <c r="O6" s="4"/>
      <c r="P6" s="4">
        <v>155</v>
      </c>
    </row>
    <row r="7" spans="1:16">
      <c r="A7" s="18" t="s">
        <v>132</v>
      </c>
      <c r="B7" s="4" t="s">
        <v>145</v>
      </c>
      <c r="C7" s="4">
        <v>0</v>
      </c>
      <c r="D7" s="4">
        <v>117</v>
      </c>
      <c r="E7" s="4">
        <v>163</v>
      </c>
      <c r="F7" s="4">
        <v>133</v>
      </c>
      <c r="G7" s="4">
        <v>160</v>
      </c>
      <c r="H7" s="4">
        <v>135</v>
      </c>
      <c r="I7" s="4"/>
      <c r="J7" s="4"/>
      <c r="K7" s="4"/>
      <c r="L7" s="4"/>
      <c r="M7" s="4"/>
      <c r="N7" s="4"/>
      <c r="O7" s="4"/>
      <c r="P7" s="4">
        <v>708</v>
      </c>
    </row>
    <row r="8" spans="1:16">
      <c r="A8" s="18" t="s">
        <v>133</v>
      </c>
      <c r="B8" s="4" t="s">
        <v>145</v>
      </c>
      <c r="C8" s="4">
        <v>0</v>
      </c>
      <c r="D8" s="4">
        <v>90</v>
      </c>
      <c r="E8" s="4">
        <v>90</v>
      </c>
      <c r="F8" s="4">
        <v>65</v>
      </c>
      <c r="G8" s="4">
        <v>65</v>
      </c>
      <c r="H8" s="4">
        <v>60</v>
      </c>
      <c r="I8" s="4"/>
      <c r="J8" s="4"/>
      <c r="K8" s="4"/>
      <c r="L8" s="4"/>
      <c r="M8" s="4"/>
      <c r="N8" s="4"/>
      <c r="O8" s="4"/>
      <c r="P8" s="4">
        <v>370</v>
      </c>
    </row>
    <row r="9" spans="1:16">
      <c r="A9" s="18" t="s">
        <v>134</v>
      </c>
      <c r="B9" s="4" t="s">
        <v>145</v>
      </c>
      <c r="C9" s="4">
        <v>44</v>
      </c>
      <c r="D9" s="4">
        <v>36</v>
      </c>
      <c r="E9" s="4">
        <v>36</v>
      </c>
      <c r="F9" s="4">
        <v>36</v>
      </c>
      <c r="G9" s="4">
        <v>47</v>
      </c>
      <c r="H9" s="4">
        <v>52</v>
      </c>
      <c r="I9" s="4"/>
      <c r="J9" s="4"/>
      <c r="K9" s="4"/>
      <c r="L9" s="4"/>
      <c r="M9" s="4"/>
      <c r="N9" s="4"/>
      <c r="O9" s="4"/>
      <c r="P9" s="4">
        <v>251</v>
      </c>
    </row>
    <row r="10" spans="1:16">
      <c r="A10" s="18" t="s">
        <v>13</v>
      </c>
      <c r="B10" s="4"/>
      <c r="C10" s="4">
        <v>5611</v>
      </c>
      <c r="D10" s="4">
        <v>508</v>
      </c>
      <c r="E10" s="4">
        <v>636</v>
      </c>
      <c r="F10" s="4">
        <v>522</v>
      </c>
      <c r="G10" s="4">
        <v>560</v>
      </c>
      <c r="H10" s="4">
        <v>555</v>
      </c>
      <c r="I10" s="4">
        <v>307</v>
      </c>
      <c r="J10" s="4">
        <v>378</v>
      </c>
      <c r="K10" s="4">
        <v>302</v>
      </c>
      <c r="L10" s="4">
        <v>302</v>
      </c>
      <c r="M10" s="4">
        <v>505</v>
      </c>
      <c r="N10" s="4">
        <v>429</v>
      </c>
      <c r="O10" s="4">
        <v>458</v>
      </c>
      <c r="P10" s="4">
        <v>5611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selection activeCell="B8" sqref="B8"/>
    </sheetView>
  </sheetViews>
  <sheetFormatPr baseColWidth="10" defaultColWidth="9.140625" defaultRowHeight="15"/>
  <cols>
    <col min="1" max="1" width="38.7109375" style="19" customWidth="1"/>
    <col min="2" max="2" width="8.7109375" style="22" customWidth="1"/>
  </cols>
  <sheetData>
    <row r="1" spans="1:16">
      <c r="A1" s="17" t="s">
        <v>77</v>
      </c>
      <c r="B1" s="6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>
      <c r="A2" s="18" t="s">
        <v>82</v>
      </c>
      <c r="B2" s="4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>
        <v>51</v>
      </c>
      <c r="N2" s="4">
        <v>87</v>
      </c>
      <c r="O2" s="4">
        <v>105</v>
      </c>
      <c r="P2" s="4">
        <v>243</v>
      </c>
    </row>
    <row r="3" spans="1:16">
      <c r="A3" s="18" t="s">
        <v>83</v>
      </c>
      <c r="B3" s="4" t="s">
        <v>146</v>
      </c>
      <c r="C3" s="4"/>
      <c r="D3" s="4"/>
      <c r="E3" s="4"/>
      <c r="F3" s="4"/>
      <c r="G3" s="4"/>
      <c r="H3" s="4"/>
      <c r="I3" s="4">
        <v>230</v>
      </c>
      <c r="J3" s="4">
        <v>200</v>
      </c>
      <c r="K3" s="4">
        <v>140</v>
      </c>
      <c r="L3" s="4">
        <v>125</v>
      </c>
      <c r="M3" s="4"/>
      <c r="N3" s="4"/>
      <c r="O3" s="4"/>
      <c r="P3" s="4">
        <v>695</v>
      </c>
    </row>
    <row r="4" spans="1:16">
      <c r="A4" s="18" t="s">
        <v>84</v>
      </c>
      <c r="B4" s="4" t="s">
        <v>146</v>
      </c>
      <c r="C4" s="4"/>
      <c r="D4" s="4"/>
      <c r="E4" s="4"/>
      <c r="F4" s="4"/>
      <c r="G4" s="4"/>
      <c r="H4" s="4"/>
      <c r="I4" s="4">
        <v>350</v>
      </c>
      <c r="J4" s="4">
        <v>295</v>
      </c>
      <c r="K4" s="4">
        <v>270</v>
      </c>
      <c r="L4" s="4">
        <v>250</v>
      </c>
      <c r="M4" s="4"/>
      <c r="N4" s="4"/>
      <c r="O4" s="4"/>
      <c r="P4" s="4">
        <v>1165</v>
      </c>
    </row>
    <row r="5" spans="1:16">
      <c r="A5" s="18" t="s">
        <v>85</v>
      </c>
      <c r="B5" s="4" t="s">
        <v>146</v>
      </c>
      <c r="C5" s="4"/>
      <c r="D5" s="4"/>
      <c r="E5" s="4"/>
      <c r="F5" s="4"/>
      <c r="G5" s="4"/>
      <c r="H5" s="4"/>
      <c r="I5" s="4">
        <v>231</v>
      </c>
      <c r="J5" s="4">
        <v>179</v>
      </c>
      <c r="K5" s="4">
        <v>139</v>
      </c>
      <c r="L5" s="4">
        <v>111</v>
      </c>
      <c r="M5" s="4"/>
      <c r="N5" s="4"/>
      <c r="O5" s="4"/>
      <c r="P5" s="4">
        <v>660</v>
      </c>
    </row>
    <row r="6" spans="1:16">
      <c r="A6" s="18" t="s">
        <v>86</v>
      </c>
      <c r="B6" s="4" t="s">
        <v>145</v>
      </c>
      <c r="C6" s="4">
        <v>60</v>
      </c>
      <c r="D6" s="4">
        <v>70</v>
      </c>
      <c r="E6" s="4">
        <v>94</v>
      </c>
      <c r="F6" s="4">
        <v>74</v>
      </c>
      <c r="G6" s="4">
        <v>68</v>
      </c>
      <c r="H6" s="4">
        <v>83</v>
      </c>
      <c r="I6" s="4"/>
      <c r="J6" s="4"/>
      <c r="K6" s="4"/>
      <c r="L6" s="4"/>
      <c r="M6" s="4"/>
      <c r="N6" s="4"/>
      <c r="O6" s="4"/>
      <c r="P6" s="4">
        <v>449</v>
      </c>
    </row>
    <row r="7" spans="1:16">
      <c r="A7" s="18" t="s">
        <v>87</v>
      </c>
      <c r="B7" s="4" t="s">
        <v>145</v>
      </c>
      <c r="C7" s="4">
        <v>25</v>
      </c>
      <c r="D7" s="4">
        <v>30</v>
      </c>
      <c r="E7" s="4">
        <v>47</v>
      </c>
      <c r="F7" s="4">
        <v>35</v>
      </c>
      <c r="G7" s="4">
        <v>26</v>
      </c>
      <c r="H7" s="4">
        <v>26</v>
      </c>
      <c r="I7" s="4"/>
      <c r="J7" s="4"/>
      <c r="K7" s="4"/>
      <c r="L7" s="4"/>
      <c r="M7" s="4"/>
      <c r="N7" s="4"/>
      <c r="O7" s="4"/>
      <c r="P7" s="4">
        <v>189</v>
      </c>
    </row>
    <row r="8" spans="1:16">
      <c r="A8" s="18" t="s">
        <v>88</v>
      </c>
      <c r="B8" s="4" t="s">
        <v>145</v>
      </c>
      <c r="C8" s="4">
        <v>0</v>
      </c>
      <c r="D8" s="4">
        <v>6</v>
      </c>
      <c r="E8" s="4">
        <v>16</v>
      </c>
      <c r="F8" s="4">
        <v>8</v>
      </c>
      <c r="G8" s="4">
        <v>4</v>
      </c>
      <c r="H8" s="4">
        <v>6</v>
      </c>
      <c r="I8" s="4"/>
      <c r="J8" s="4"/>
      <c r="K8" s="4"/>
      <c r="L8" s="4"/>
      <c r="M8" s="4"/>
      <c r="N8" s="4"/>
      <c r="O8" s="4"/>
      <c r="P8" s="4">
        <v>40</v>
      </c>
    </row>
    <row r="9" spans="1:16">
      <c r="A9" s="18" t="s">
        <v>89</v>
      </c>
      <c r="B9" s="4" t="s">
        <v>145</v>
      </c>
      <c r="C9" s="4">
        <v>0</v>
      </c>
      <c r="D9" s="4">
        <v>3</v>
      </c>
      <c r="E9" s="4">
        <v>3</v>
      </c>
      <c r="F9" s="4">
        <v>4</v>
      </c>
      <c r="G9" s="4">
        <v>4</v>
      </c>
      <c r="H9" s="4">
        <v>3</v>
      </c>
      <c r="I9" s="4"/>
      <c r="J9" s="4"/>
      <c r="K9" s="4"/>
      <c r="L9" s="4"/>
      <c r="M9" s="4"/>
      <c r="N9" s="4"/>
      <c r="O9" s="4"/>
      <c r="P9" s="4">
        <v>17</v>
      </c>
    </row>
    <row r="10" spans="1:16">
      <c r="A10" s="18" t="s">
        <v>31</v>
      </c>
      <c r="B10" s="4" t="s">
        <v>145</v>
      </c>
      <c r="C10" s="4">
        <v>25</v>
      </c>
      <c r="D10" s="4">
        <v>31</v>
      </c>
      <c r="E10" s="4">
        <v>52</v>
      </c>
      <c r="F10" s="4">
        <v>59</v>
      </c>
      <c r="G10" s="4">
        <v>49</v>
      </c>
      <c r="H10" s="4">
        <v>36</v>
      </c>
      <c r="I10" s="4"/>
      <c r="J10" s="4"/>
      <c r="K10" s="4"/>
      <c r="L10" s="4"/>
      <c r="M10" s="4"/>
      <c r="N10" s="4"/>
      <c r="O10" s="4"/>
      <c r="P10" s="4">
        <v>252</v>
      </c>
    </row>
    <row r="11" spans="1:16">
      <c r="A11" s="18" t="s">
        <v>90</v>
      </c>
      <c r="B11" s="4" t="s">
        <v>145</v>
      </c>
      <c r="C11" s="4">
        <v>50</v>
      </c>
      <c r="D11" s="4">
        <v>40</v>
      </c>
      <c r="E11" s="4">
        <v>59</v>
      </c>
      <c r="F11" s="4">
        <v>45</v>
      </c>
      <c r="G11" s="4">
        <v>49</v>
      </c>
      <c r="H11" s="4">
        <v>44</v>
      </c>
      <c r="I11" s="4"/>
      <c r="J11" s="4"/>
      <c r="K11" s="4"/>
      <c r="L11" s="4"/>
      <c r="M11" s="4"/>
      <c r="N11" s="4"/>
      <c r="O11" s="4"/>
      <c r="P11" s="4">
        <v>287</v>
      </c>
    </row>
    <row r="12" spans="1:16">
      <c r="A12" s="18" t="s">
        <v>91</v>
      </c>
      <c r="B12" s="4" t="s">
        <v>145</v>
      </c>
      <c r="C12" s="4">
        <v>25</v>
      </c>
      <c r="D12" s="4">
        <v>21</v>
      </c>
      <c r="E12" s="4">
        <v>31</v>
      </c>
      <c r="F12" s="4">
        <v>45</v>
      </c>
      <c r="G12" s="4">
        <v>25</v>
      </c>
      <c r="H12" s="4">
        <v>28</v>
      </c>
      <c r="I12" s="4"/>
      <c r="J12" s="4"/>
      <c r="K12" s="4"/>
      <c r="L12" s="4"/>
      <c r="M12" s="4"/>
      <c r="N12" s="4"/>
      <c r="O12" s="4"/>
      <c r="P12" s="4">
        <v>175</v>
      </c>
    </row>
    <row r="13" spans="1:16">
      <c r="A13" s="18" t="s">
        <v>92</v>
      </c>
      <c r="B13" s="4" t="s">
        <v>145</v>
      </c>
      <c r="C13" s="4">
        <v>40</v>
      </c>
      <c r="D13" s="4">
        <v>39</v>
      </c>
      <c r="E13" s="4">
        <v>46</v>
      </c>
      <c r="F13" s="4">
        <v>44</v>
      </c>
      <c r="G13" s="4">
        <v>49</v>
      </c>
      <c r="H13" s="4">
        <v>39</v>
      </c>
      <c r="I13" s="4"/>
      <c r="J13" s="4"/>
      <c r="K13" s="4"/>
      <c r="L13" s="4"/>
      <c r="M13" s="4"/>
      <c r="N13" s="4"/>
      <c r="O13" s="4"/>
      <c r="P13" s="4">
        <v>257</v>
      </c>
    </row>
    <row r="14" spans="1:16">
      <c r="A14" s="18" t="s">
        <v>93</v>
      </c>
      <c r="B14" s="4" t="s">
        <v>145</v>
      </c>
      <c r="C14" s="4">
        <v>25</v>
      </c>
      <c r="D14" s="4">
        <v>140</v>
      </c>
      <c r="E14" s="4">
        <v>165</v>
      </c>
      <c r="F14" s="4">
        <v>144</v>
      </c>
      <c r="G14" s="4">
        <v>148</v>
      </c>
      <c r="H14" s="4">
        <v>129</v>
      </c>
      <c r="I14" s="4"/>
      <c r="J14" s="4"/>
      <c r="K14" s="4"/>
      <c r="L14" s="4"/>
      <c r="M14" s="4"/>
      <c r="N14" s="4"/>
      <c r="O14" s="4"/>
      <c r="P14" s="4">
        <v>751</v>
      </c>
    </row>
    <row r="15" spans="1:16">
      <c r="A15" s="18" t="s">
        <v>94</v>
      </c>
      <c r="B15" s="4" t="s">
        <v>145</v>
      </c>
      <c r="C15" s="4">
        <v>50</v>
      </c>
      <c r="D15" s="4">
        <v>49</v>
      </c>
      <c r="E15" s="4">
        <v>87</v>
      </c>
      <c r="F15" s="4">
        <v>69</v>
      </c>
      <c r="G15" s="4">
        <v>47</v>
      </c>
      <c r="H15" s="4">
        <v>46</v>
      </c>
      <c r="I15" s="4"/>
      <c r="J15" s="4"/>
      <c r="K15" s="4"/>
      <c r="L15" s="4"/>
      <c r="M15" s="4"/>
      <c r="N15" s="4"/>
      <c r="O15" s="4"/>
      <c r="P15" s="4">
        <v>348</v>
      </c>
    </row>
    <row r="16" spans="1:16">
      <c r="A16" s="18" t="s">
        <v>13</v>
      </c>
      <c r="B16" s="4"/>
      <c r="C16" s="4">
        <v>300</v>
      </c>
      <c r="D16" s="4">
        <v>429</v>
      </c>
      <c r="E16" s="4">
        <v>600</v>
      </c>
      <c r="F16" s="4">
        <v>527</v>
      </c>
      <c r="G16" s="4">
        <v>469</v>
      </c>
      <c r="H16" s="4">
        <v>440</v>
      </c>
      <c r="I16" s="4">
        <f>+I3+I4+I5</f>
        <v>811</v>
      </c>
      <c r="J16" s="4">
        <f t="shared" ref="J16:L16" si="0">+J3+J4+J5</f>
        <v>674</v>
      </c>
      <c r="K16" s="4">
        <f t="shared" si="0"/>
        <v>549</v>
      </c>
      <c r="L16" s="4">
        <f t="shared" si="0"/>
        <v>486</v>
      </c>
      <c r="M16" s="4">
        <v>51</v>
      </c>
      <c r="N16" s="4">
        <v>87</v>
      </c>
      <c r="O16" s="4">
        <v>105</v>
      </c>
      <c r="P16" s="4">
        <v>5528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selection activeCell="B5" sqref="B5"/>
    </sheetView>
  </sheetViews>
  <sheetFormatPr baseColWidth="10" defaultColWidth="9.140625" defaultRowHeight="15"/>
  <cols>
    <col min="1" max="1" width="39.42578125" style="19" customWidth="1"/>
    <col min="2" max="2" width="8.28515625" style="22" customWidth="1"/>
  </cols>
  <sheetData>
    <row r="1" spans="1:16">
      <c r="A1" s="17" t="s">
        <v>78</v>
      </c>
      <c r="B1" s="6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>
      <c r="A2" s="18" t="s">
        <v>95</v>
      </c>
      <c r="B2" s="4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>
        <v>182</v>
      </c>
      <c r="N2" s="4">
        <v>199</v>
      </c>
      <c r="O2" s="4">
        <v>133</v>
      </c>
      <c r="P2" s="4">
        <v>514</v>
      </c>
    </row>
    <row r="3" spans="1:16">
      <c r="A3" s="18" t="s">
        <v>96</v>
      </c>
      <c r="B3" s="4" t="s">
        <v>146</v>
      </c>
      <c r="C3" s="4"/>
      <c r="D3" s="4"/>
      <c r="E3" s="4"/>
      <c r="F3" s="4"/>
      <c r="G3" s="4"/>
      <c r="H3" s="4"/>
      <c r="I3" s="4">
        <v>220</v>
      </c>
      <c r="J3" s="4">
        <v>210</v>
      </c>
      <c r="K3" s="4">
        <v>168</v>
      </c>
      <c r="L3" s="4">
        <v>176</v>
      </c>
      <c r="M3" s="4"/>
      <c r="N3" s="4"/>
      <c r="O3" s="4"/>
      <c r="P3" s="4">
        <v>774</v>
      </c>
    </row>
    <row r="4" spans="1:16">
      <c r="A4" s="18" t="s">
        <v>97</v>
      </c>
      <c r="B4" s="4" t="s">
        <v>146</v>
      </c>
      <c r="C4" s="4"/>
      <c r="D4" s="4"/>
      <c r="E4" s="4"/>
      <c r="F4" s="4"/>
      <c r="G4" s="4"/>
      <c r="H4" s="4"/>
      <c r="I4" s="4">
        <v>312</v>
      </c>
      <c r="J4" s="4">
        <v>250</v>
      </c>
      <c r="K4" s="4">
        <v>172</v>
      </c>
      <c r="L4" s="4">
        <v>200</v>
      </c>
      <c r="M4" s="4"/>
      <c r="N4" s="4"/>
      <c r="O4" s="4"/>
      <c r="P4" s="4">
        <v>934</v>
      </c>
    </row>
    <row r="5" spans="1:16">
      <c r="A5" s="18" t="s">
        <v>28</v>
      </c>
      <c r="B5" s="4" t="s">
        <v>145</v>
      </c>
      <c r="C5" s="4">
        <v>50</v>
      </c>
      <c r="D5" s="4">
        <v>70</v>
      </c>
      <c r="E5" s="4">
        <v>75</v>
      </c>
      <c r="F5" s="4">
        <v>86</v>
      </c>
      <c r="G5" s="4">
        <v>71</v>
      </c>
      <c r="H5" s="4">
        <v>84</v>
      </c>
      <c r="I5" s="4"/>
      <c r="J5" s="4"/>
      <c r="K5" s="4"/>
      <c r="L5" s="4"/>
      <c r="M5" s="4"/>
      <c r="N5" s="4"/>
      <c r="O5" s="4"/>
      <c r="P5" s="4">
        <v>436</v>
      </c>
    </row>
    <row r="6" spans="1:16">
      <c r="A6" s="18" t="s">
        <v>98</v>
      </c>
      <c r="B6" s="4" t="s">
        <v>145</v>
      </c>
      <c r="C6" s="4">
        <v>50</v>
      </c>
      <c r="D6" s="4">
        <v>90</v>
      </c>
      <c r="E6" s="4">
        <v>105</v>
      </c>
      <c r="F6" s="4">
        <v>120</v>
      </c>
      <c r="G6" s="4">
        <v>100</v>
      </c>
      <c r="H6" s="4">
        <v>90</v>
      </c>
      <c r="I6" s="4"/>
      <c r="J6" s="4"/>
      <c r="K6" s="4"/>
      <c r="L6" s="4"/>
      <c r="M6" s="4"/>
      <c r="N6" s="4"/>
      <c r="O6" s="4"/>
      <c r="P6" s="4">
        <v>555</v>
      </c>
    </row>
    <row r="7" spans="1:16">
      <c r="A7" s="18" t="s">
        <v>99</v>
      </c>
      <c r="B7" s="4" t="s">
        <v>145</v>
      </c>
      <c r="C7" s="4">
        <v>50</v>
      </c>
      <c r="D7" s="4">
        <v>120</v>
      </c>
      <c r="E7" s="4">
        <v>112</v>
      </c>
      <c r="F7" s="4">
        <v>122</v>
      </c>
      <c r="G7" s="4">
        <v>106</v>
      </c>
      <c r="H7" s="4">
        <v>100</v>
      </c>
      <c r="I7" s="4"/>
      <c r="J7" s="4"/>
      <c r="K7" s="4"/>
      <c r="L7" s="4"/>
      <c r="M7" s="4"/>
      <c r="N7" s="4"/>
      <c r="O7" s="4"/>
      <c r="P7" s="4">
        <v>610</v>
      </c>
    </row>
    <row r="8" spans="1:16">
      <c r="A8" s="18" t="s">
        <v>100</v>
      </c>
      <c r="B8" s="4" t="s">
        <v>145</v>
      </c>
      <c r="C8" s="4">
        <v>60</v>
      </c>
      <c r="D8" s="4">
        <v>110</v>
      </c>
      <c r="E8" s="4">
        <v>104</v>
      </c>
      <c r="F8" s="4">
        <v>98</v>
      </c>
      <c r="G8" s="4">
        <v>108</v>
      </c>
      <c r="H8" s="4">
        <v>94</v>
      </c>
      <c r="I8" s="4"/>
      <c r="J8" s="4"/>
      <c r="K8" s="4"/>
      <c r="L8" s="4"/>
      <c r="M8" s="4"/>
      <c r="N8" s="4"/>
      <c r="O8" s="4"/>
      <c r="P8" s="4">
        <v>574</v>
      </c>
    </row>
    <row r="9" spans="1:16">
      <c r="A9" s="18" t="s">
        <v>101</v>
      </c>
      <c r="B9" s="4" t="s">
        <v>145</v>
      </c>
      <c r="C9" s="4">
        <v>30</v>
      </c>
      <c r="D9" s="4">
        <v>25</v>
      </c>
      <c r="E9" s="4">
        <v>44</v>
      </c>
      <c r="F9" s="4">
        <v>34</v>
      </c>
      <c r="G9" s="4">
        <v>24</v>
      </c>
      <c r="H9" s="4">
        <v>16</v>
      </c>
      <c r="I9" s="4"/>
      <c r="J9" s="4"/>
      <c r="K9" s="4"/>
      <c r="L9" s="4"/>
      <c r="M9" s="4"/>
      <c r="N9" s="4"/>
      <c r="O9" s="4"/>
      <c r="P9" s="4">
        <v>173</v>
      </c>
    </row>
    <row r="10" spans="1:16">
      <c r="A10" s="18" t="s">
        <v>102</v>
      </c>
      <c r="B10" s="4" t="s">
        <v>145</v>
      </c>
      <c r="C10" s="4">
        <v>0</v>
      </c>
      <c r="D10" s="4">
        <v>15</v>
      </c>
      <c r="E10" s="4">
        <v>36</v>
      </c>
      <c r="F10" s="4">
        <v>27</v>
      </c>
      <c r="G10" s="4">
        <v>25</v>
      </c>
      <c r="H10" s="4">
        <v>25</v>
      </c>
      <c r="I10" s="4"/>
      <c r="J10" s="4"/>
      <c r="K10" s="4"/>
      <c r="L10" s="4"/>
      <c r="M10" s="4"/>
      <c r="N10" s="4"/>
      <c r="O10" s="4"/>
      <c r="P10" s="4">
        <v>128</v>
      </c>
    </row>
    <row r="11" spans="1:16">
      <c r="A11" s="18" t="s">
        <v>103</v>
      </c>
      <c r="B11" s="4" t="s">
        <v>145</v>
      </c>
      <c r="C11" s="4">
        <v>0</v>
      </c>
      <c r="D11" s="4">
        <v>11</v>
      </c>
      <c r="E11" s="4">
        <v>11</v>
      </c>
      <c r="F11" s="4">
        <v>19</v>
      </c>
      <c r="G11" s="4">
        <v>12</v>
      </c>
      <c r="H11" s="4">
        <v>5</v>
      </c>
      <c r="I11" s="4"/>
      <c r="J11" s="4"/>
      <c r="K11" s="4"/>
      <c r="L11" s="4"/>
      <c r="M11" s="4"/>
      <c r="N11" s="4"/>
      <c r="O11" s="4"/>
      <c r="P11" s="4">
        <v>58</v>
      </c>
    </row>
    <row r="12" spans="1:16">
      <c r="A12" s="18" t="s">
        <v>104</v>
      </c>
      <c r="B12" s="4" t="s">
        <v>145</v>
      </c>
      <c r="C12" s="4">
        <v>0</v>
      </c>
      <c r="D12" s="4">
        <v>0</v>
      </c>
      <c r="E12" s="4">
        <v>10</v>
      </c>
      <c r="F12" s="4">
        <v>3</v>
      </c>
      <c r="G12" s="4">
        <v>10</v>
      </c>
      <c r="H12" s="4">
        <v>1</v>
      </c>
      <c r="I12" s="4"/>
      <c r="J12" s="4"/>
      <c r="K12" s="4"/>
      <c r="L12" s="4"/>
      <c r="M12" s="4"/>
      <c r="N12" s="4"/>
      <c r="O12" s="4"/>
      <c r="P12" s="4">
        <v>24</v>
      </c>
    </row>
    <row r="13" spans="1:16">
      <c r="A13" s="18" t="s">
        <v>105</v>
      </c>
      <c r="B13" s="4" t="s">
        <v>145</v>
      </c>
      <c r="C13" s="4">
        <v>50</v>
      </c>
      <c r="D13" s="4">
        <v>64</v>
      </c>
      <c r="E13" s="4">
        <v>85</v>
      </c>
      <c r="F13" s="4">
        <v>64</v>
      </c>
      <c r="G13" s="4">
        <v>62</v>
      </c>
      <c r="H13" s="4">
        <v>65</v>
      </c>
      <c r="I13" s="4"/>
      <c r="J13" s="4"/>
      <c r="K13" s="4"/>
      <c r="L13" s="4"/>
      <c r="M13" s="4"/>
      <c r="N13" s="4"/>
      <c r="O13" s="4"/>
      <c r="P13" s="4">
        <v>390</v>
      </c>
    </row>
    <row r="14" spans="1:16">
      <c r="A14" s="18" t="s">
        <v>13</v>
      </c>
      <c r="B14" s="4"/>
      <c r="C14" s="4">
        <f>SUM(C5:C13)</f>
        <v>290</v>
      </c>
      <c r="D14" s="4">
        <f t="shared" ref="D14:H14" si="0">SUM(D5:D13)</f>
        <v>505</v>
      </c>
      <c r="E14" s="4">
        <f t="shared" si="0"/>
        <v>582</v>
      </c>
      <c r="F14" s="4">
        <f t="shared" si="0"/>
        <v>573</v>
      </c>
      <c r="G14" s="4">
        <f t="shared" si="0"/>
        <v>518</v>
      </c>
      <c r="H14" s="4">
        <f t="shared" si="0"/>
        <v>480</v>
      </c>
      <c r="I14" s="4">
        <f>+I3+I4</f>
        <v>532</v>
      </c>
      <c r="J14" s="4">
        <f t="shared" ref="J14:L14" si="1">+J3+J4</f>
        <v>460</v>
      </c>
      <c r="K14" s="4">
        <f t="shared" si="1"/>
        <v>340</v>
      </c>
      <c r="L14" s="4">
        <f t="shared" si="1"/>
        <v>376</v>
      </c>
      <c r="M14" s="4">
        <v>182</v>
      </c>
      <c r="N14" s="4">
        <v>199</v>
      </c>
      <c r="O14" s="4">
        <v>133</v>
      </c>
      <c r="P14" s="4">
        <f>SUM(C14:O14)</f>
        <v>5170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selection activeCell="B5" sqref="B5"/>
    </sheetView>
  </sheetViews>
  <sheetFormatPr baseColWidth="10" defaultColWidth="9.140625" defaultRowHeight="15"/>
  <cols>
    <col min="1" max="1" width="44.42578125" customWidth="1"/>
    <col min="2" max="2" width="8.7109375" style="22" customWidth="1"/>
  </cols>
  <sheetData>
    <row r="1" spans="1:16">
      <c r="A1" s="12" t="s">
        <v>79</v>
      </c>
      <c r="B1" s="6"/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8" t="s">
        <v>5</v>
      </c>
      <c r="I1" s="8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</row>
    <row r="2" spans="1:16">
      <c r="A2" s="7" t="s">
        <v>135</v>
      </c>
      <c r="B2" s="4" t="s">
        <v>147</v>
      </c>
      <c r="C2" s="7"/>
      <c r="D2" s="7"/>
      <c r="E2" s="7"/>
      <c r="F2" s="7"/>
      <c r="G2" s="7"/>
      <c r="H2" s="7"/>
      <c r="I2" s="7"/>
      <c r="J2" s="7"/>
      <c r="K2" s="7"/>
      <c r="L2" s="7"/>
      <c r="M2" s="7">
        <v>244</v>
      </c>
      <c r="N2" s="7">
        <v>228</v>
      </c>
      <c r="O2" s="7">
        <v>200</v>
      </c>
      <c r="P2" s="7">
        <f>SUM(M2:O2)</f>
        <v>672</v>
      </c>
    </row>
    <row r="3" spans="1:16">
      <c r="A3" s="7" t="s">
        <v>136</v>
      </c>
      <c r="B3" s="4" t="s">
        <v>146</v>
      </c>
      <c r="C3" s="7"/>
      <c r="D3" s="7"/>
      <c r="E3" s="7"/>
      <c r="F3" s="7"/>
      <c r="G3" s="7"/>
      <c r="H3" s="7"/>
      <c r="I3" s="7">
        <v>298</v>
      </c>
      <c r="J3" s="7">
        <v>284</v>
      </c>
      <c r="K3" s="7">
        <v>204</v>
      </c>
      <c r="L3" s="7">
        <v>225</v>
      </c>
      <c r="M3" s="7"/>
      <c r="N3" s="7"/>
      <c r="O3" s="7"/>
      <c r="P3" s="7">
        <f>L3+K3+J3+I3</f>
        <v>1011</v>
      </c>
    </row>
    <row r="4" spans="1:16">
      <c r="A4" s="7" t="s">
        <v>137</v>
      </c>
      <c r="B4" s="4" t="s">
        <v>146</v>
      </c>
      <c r="C4" s="7"/>
      <c r="D4" s="7"/>
      <c r="E4" s="7"/>
      <c r="F4" s="7"/>
      <c r="G4" s="7"/>
      <c r="H4" s="7"/>
      <c r="I4" s="7">
        <v>260</v>
      </c>
      <c r="J4" s="7">
        <v>233</v>
      </c>
      <c r="K4" s="7">
        <v>217</v>
      </c>
      <c r="L4" s="7">
        <v>146</v>
      </c>
      <c r="M4" s="7"/>
      <c r="N4" s="7"/>
      <c r="O4" s="7"/>
      <c r="P4" s="7">
        <f>L4+K4+J4+I4</f>
        <v>856</v>
      </c>
    </row>
    <row r="5" spans="1:16">
      <c r="A5" s="7" t="s">
        <v>138</v>
      </c>
      <c r="B5" s="4" t="s">
        <v>145</v>
      </c>
      <c r="C5" s="7">
        <v>50</v>
      </c>
      <c r="D5" s="7">
        <v>39</v>
      </c>
      <c r="E5" s="7">
        <v>51</v>
      </c>
      <c r="F5" s="7">
        <v>40</v>
      </c>
      <c r="G5" s="7">
        <v>48</v>
      </c>
      <c r="H5" s="7">
        <v>65</v>
      </c>
      <c r="I5" s="7"/>
      <c r="J5" s="7"/>
      <c r="K5" s="7"/>
      <c r="L5" s="7"/>
      <c r="M5" s="7"/>
      <c r="N5" s="7"/>
      <c r="O5" s="7"/>
      <c r="P5" s="7">
        <f>H5+G5+F5+E5+D5+C5</f>
        <v>293</v>
      </c>
    </row>
    <row r="6" spans="1:16">
      <c r="A6" s="7" t="s">
        <v>139</v>
      </c>
      <c r="B6" s="4" t="s">
        <v>145</v>
      </c>
      <c r="C6" s="7">
        <v>50</v>
      </c>
      <c r="D6" s="7">
        <v>57</v>
      </c>
      <c r="E6" s="7">
        <v>60</v>
      </c>
      <c r="F6" s="7">
        <v>56</v>
      </c>
      <c r="G6" s="7">
        <v>53</v>
      </c>
      <c r="H6" s="7">
        <v>64</v>
      </c>
      <c r="I6" s="7"/>
      <c r="J6" s="7"/>
      <c r="K6" s="7"/>
      <c r="L6" s="7"/>
      <c r="M6" s="7"/>
      <c r="N6" s="7"/>
      <c r="O6" s="7"/>
      <c r="P6" s="7">
        <f t="shared" ref="P6:P10" si="0">H6+G6+F6+E6+D6+C6</f>
        <v>340</v>
      </c>
    </row>
    <row r="7" spans="1:16">
      <c r="A7" s="7" t="s">
        <v>140</v>
      </c>
      <c r="B7" s="4" t="s">
        <v>145</v>
      </c>
      <c r="C7" s="7">
        <v>60</v>
      </c>
      <c r="D7" s="7">
        <v>40</v>
      </c>
      <c r="E7" s="7">
        <v>58</v>
      </c>
      <c r="F7" s="7">
        <v>37</v>
      </c>
      <c r="G7" s="7">
        <v>45</v>
      </c>
      <c r="H7" s="7">
        <v>64</v>
      </c>
      <c r="I7" s="7"/>
      <c r="J7" s="7"/>
      <c r="K7" s="7"/>
      <c r="L7" s="7"/>
      <c r="M7" s="7"/>
      <c r="N7" s="7"/>
      <c r="O7" s="7"/>
      <c r="P7" s="7">
        <f t="shared" si="0"/>
        <v>304</v>
      </c>
    </row>
    <row r="8" spans="1:16">
      <c r="A8" s="7" t="s">
        <v>141</v>
      </c>
      <c r="B8" s="4" t="s">
        <v>145</v>
      </c>
      <c r="C8" s="7">
        <v>60</v>
      </c>
      <c r="D8" s="7">
        <v>52</v>
      </c>
      <c r="E8" s="7">
        <v>54</v>
      </c>
      <c r="F8" s="7">
        <v>61</v>
      </c>
      <c r="G8" s="7">
        <v>65</v>
      </c>
      <c r="H8" s="7">
        <v>43</v>
      </c>
      <c r="I8" s="7"/>
      <c r="J8" s="7"/>
      <c r="K8" s="7"/>
      <c r="L8" s="7"/>
      <c r="M8" s="7"/>
      <c r="N8" s="7"/>
      <c r="O8" s="7"/>
      <c r="P8" s="7">
        <f t="shared" si="0"/>
        <v>335</v>
      </c>
    </row>
    <row r="9" spans="1:16">
      <c r="A9" s="7" t="s">
        <v>142</v>
      </c>
      <c r="B9" s="4" t="s">
        <v>145</v>
      </c>
      <c r="C9" s="7">
        <v>50</v>
      </c>
      <c r="D9" s="7">
        <v>69</v>
      </c>
      <c r="E9" s="7">
        <v>67</v>
      </c>
      <c r="F9" s="7">
        <v>73</v>
      </c>
      <c r="G9" s="7">
        <v>61</v>
      </c>
      <c r="H9" s="7">
        <v>63</v>
      </c>
      <c r="I9" s="7"/>
      <c r="J9" s="7"/>
      <c r="K9" s="7"/>
      <c r="L9" s="7"/>
      <c r="M9" s="7"/>
      <c r="N9" s="7"/>
      <c r="O9" s="7"/>
      <c r="P9" s="7">
        <f t="shared" si="0"/>
        <v>383</v>
      </c>
    </row>
    <row r="10" spans="1:16">
      <c r="A10" s="7" t="s">
        <v>143</v>
      </c>
      <c r="B10" s="4" t="s">
        <v>145</v>
      </c>
      <c r="C10" s="7">
        <v>36</v>
      </c>
      <c r="D10" s="7">
        <v>42</v>
      </c>
      <c r="E10" s="7">
        <v>35</v>
      </c>
      <c r="F10" s="7">
        <v>39</v>
      </c>
      <c r="G10" s="7">
        <v>50</v>
      </c>
      <c r="H10" s="7">
        <v>43</v>
      </c>
      <c r="I10" s="7"/>
      <c r="J10" s="7"/>
      <c r="K10" s="7"/>
      <c r="L10" s="7"/>
      <c r="M10" s="7"/>
      <c r="N10" s="7"/>
      <c r="O10" s="7"/>
      <c r="P10" s="7">
        <f t="shared" si="0"/>
        <v>245</v>
      </c>
    </row>
    <row r="11" spans="1:16">
      <c r="A11" s="7" t="s">
        <v>13</v>
      </c>
      <c r="B11" s="4"/>
      <c r="C11" s="7">
        <f>SUM(C5:C10)</f>
        <v>306</v>
      </c>
      <c r="D11" s="7">
        <f t="shared" ref="D11:H11" si="1">SUM(D5:D10)</f>
        <v>299</v>
      </c>
      <c r="E11" s="7">
        <f t="shared" si="1"/>
        <v>325</v>
      </c>
      <c r="F11" s="7">
        <f t="shared" si="1"/>
        <v>306</v>
      </c>
      <c r="G11" s="7">
        <f t="shared" si="1"/>
        <v>322</v>
      </c>
      <c r="H11" s="7">
        <f t="shared" si="1"/>
        <v>342</v>
      </c>
      <c r="I11" s="7">
        <f>I3+I4</f>
        <v>558</v>
      </c>
      <c r="J11" s="7">
        <f t="shared" ref="J11:L11" si="2">J3+J4</f>
        <v>517</v>
      </c>
      <c r="K11" s="7">
        <f t="shared" si="2"/>
        <v>421</v>
      </c>
      <c r="L11" s="7">
        <f t="shared" si="2"/>
        <v>371</v>
      </c>
      <c r="M11" s="7">
        <v>244</v>
      </c>
      <c r="N11" s="7">
        <v>228</v>
      </c>
      <c r="O11" s="7">
        <v>200</v>
      </c>
      <c r="P11" s="7">
        <f>SUM(C11:O11)</f>
        <v>4439</v>
      </c>
    </row>
    <row r="14" spans="1:16">
      <c r="E1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selection activeCell="B10" sqref="B10"/>
    </sheetView>
  </sheetViews>
  <sheetFormatPr baseColWidth="10" defaultColWidth="9.140625" defaultRowHeight="15"/>
  <cols>
    <col min="1" max="1" width="42.28515625" style="19" customWidth="1"/>
    <col min="2" max="2" width="7.85546875" style="22" customWidth="1"/>
  </cols>
  <sheetData>
    <row r="1" spans="1:16">
      <c r="A1" s="17" t="s">
        <v>80</v>
      </c>
      <c r="B1" s="6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>
      <c r="A2" s="18" t="s">
        <v>119</v>
      </c>
      <c r="B2" s="4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>
        <v>190</v>
      </c>
      <c r="N2" s="4">
        <v>157</v>
      </c>
      <c r="O2" s="4">
        <v>154</v>
      </c>
      <c r="P2" s="4">
        <v>501</v>
      </c>
    </row>
    <row r="3" spans="1:16">
      <c r="A3" s="18" t="s">
        <v>144</v>
      </c>
      <c r="B3" s="4" t="s">
        <v>147</v>
      </c>
      <c r="C3" s="4"/>
      <c r="D3" s="4"/>
      <c r="E3" s="4"/>
      <c r="F3" s="4"/>
      <c r="G3" s="4"/>
      <c r="H3" s="4"/>
      <c r="I3" s="4"/>
      <c r="J3" s="4"/>
      <c r="K3" s="4"/>
      <c r="L3" s="4"/>
      <c r="M3" s="4">
        <v>43</v>
      </c>
      <c r="N3" s="4">
        <v>30</v>
      </c>
      <c r="O3" s="4">
        <v>22</v>
      </c>
      <c r="P3" s="4">
        <v>95</v>
      </c>
    </row>
    <row r="4" spans="1:16">
      <c r="A4" s="18" t="s">
        <v>120</v>
      </c>
      <c r="B4" s="4" t="s">
        <v>146</v>
      </c>
      <c r="C4" s="4"/>
      <c r="D4" s="4"/>
      <c r="E4" s="4"/>
      <c r="F4" s="4"/>
      <c r="G4" s="4"/>
      <c r="H4" s="4"/>
      <c r="I4" s="4">
        <v>370</v>
      </c>
      <c r="J4" s="4">
        <v>400</v>
      </c>
      <c r="K4" s="4">
        <v>280</v>
      </c>
      <c r="L4" s="4">
        <v>410</v>
      </c>
      <c r="M4" s="4"/>
      <c r="N4" s="4"/>
      <c r="O4" s="4"/>
      <c r="P4" s="4">
        <v>1450</v>
      </c>
    </row>
    <row r="5" spans="1:16">
      <c r="A5" s="18" t="s">
        <v>121</v>
      </c>
      <c r="B5" s="4" t="s">
        <v>145</v>
      </c>
      <c r="C5" s="4">
        <v>50</v>
      </c>
      <c r="D5" s="4">
        <v>60</v>
      </c>
      <c r="E5" s="4">
        <v>105</v>
      </c>
      <c r="F5" s="4">
        <v>110</v>
      </c>
      <c r="G5" s="4">
        <v>100</v>
      </c>
      <c r="H5" s="4">
        <v>115</v>
      </c>
      <c r="I5" s="4"/>
      <c r="J5" s="4"/>
      <c r="K5" s="4"/>
      <c r="L5" s="4"/>
      <c r="M5" s="4"/>
      <c r="N5" s="4"/>
      <c r="O5" s="4"/>
      <c r="P5" s="4">
        <v>446</v>
      </c>
    </row>
    <row r="6" spans="1:16">
      <c r="A6" s="18" t="s">
        <v>122</v>
      </c>
      <c r="B6" s="4" t="s">
        <v>145</v>
      </c>
      <c r="C6" s="4">
        <v>44</v>
      </c>
      <c r="D6" s="4">
        <v>61</v>
      </c>
      <c r="E6" s="4">
        <v>127</v>
      </c>
      <c r="F6" s="4">
        <v>114</v>
      </c>
      <c r="G6" s="4">
        <v>113</v>
      </c>
      <c r="H6" s="4">
        <v>102</v>
      </c>
      <c r="I6" s="4"/>
      <c r="J6" s="4"/>
      <c r="K6" s="4"/>
      <c r="L6" s="4"/>
      <c r="M6" s="4"/>
      <c r="N6" s="4"/>
      <c r="O6" s="4"/>
      <c r="P6" s="4">
        <v>240</v>
      </c>
    </row>
    <row r="7" spans="1:16">
      <c r="A7" s="18" t="s">
        <v>123</v>
      </c>
      <c r="B7" s="4" t="s">
        <v>145</v>
      </c>
      <c r="C7" s="4">
        <v>13</v>
      </c>
      <c r="D7" s="4">
        <v>32</v>
      </c>
      <c r="E7" s="4">
        <v>71</v>
      </c>
      <c r="F7" s="4">
        <v>67</v>
      </c>
      <c r="G7" s="4">
        <v>66</v>
      </c>
      <c r="H7" s="4">
        <v>70</v>
      </c>
      <c r="I7" s="4"/>
      <c r="J7" s="4"/>
      <c r="K7" s="4"/>
      <c r="L7" s="4"/>
      <c r="M7" s="4"/>
      <c r="N7" s="4"/>
      <c r="O7" s="4"/>
      <c r="P7" s="4">
        <v>350</v>
      </c>
    </row>
    <row r="8" spans="1:16">
      <c r="A8" s="18" t="s">
        <v>124</v>
      </c>
      <c r="B8" s="4" t="s">
        <v>145</v>
      </c>
      <c r="C8" s="4">
        <v>43</v>
      </c>
      <c r="D8" s="4">
        <v>55</v>
      </c>
      <c r="E8" s="4">
        <v>132</v>
      </c>
      <c r="F8" s="4">
        <v>137</v>
      </c>
      <c r="G8" s="4">
        <v>137</v>
      </c>
      <c r="H8" s="4">
        <v>129</v>
      </c>
      <c r="I8" s="4"/>
      <c r="J8" s="4"/>
      <c r="K8" s="4"/>
      <c r="L8" s="4"/>
      <c r="M8" s="4"/>
      <c r="N8" s="4"/>
      <c r="O8" s="4"/>
      <c r="P8" s="4">
        <v>550</v>
      </c>
    </row>
    <row r="9" spans="1:16">
      <c r="A9" s="18" t="s">
        <v>125</v>
      </c>
      <c r="B9" s="4" t="s">
        <v>145</v>
      </c>
      <c r="C9" s="4">
        <v>60</v>
      </c>
      <c r="D9" s="4">
        <v>65</v>
      </c>
      <c r="E9" s="4">
        <v>145</v>
      </c>
      <c r="F9" s="4">
        <v>148</v>
      </c>
      <c r="G9" s="4">
        <v>141</v>
      </c>
      <c r="H9" s="4">
        <v>120</v>
      </c>
      <c r="I9" s="4"/>
      <c r="J9" s="4"/>
      <c r="K9" s="4"/>
      <c r="L9" s="4"/>
      <c r="M9" s="4"/>
      <c r="N9" s="4"/>
      <c r="O9" s="4"/>
      <c r="P9" s="4">
        <v>605</v>
      </c>
    </row>
    <row r="10" spans="1:16">
      <c r="A10" s="18" t="s">
        <v>126</v>
      </c>
      <c r="B10" s="4" t="s">
        <v>145</v>
      </c>
      <c r="C10" s="4">
        <v>0</v>
      </c>
      <c r="D10" s="4">
        <v>65</v>
      </c>
      <c r="E10" s="4">
        <v>107</v>
      </c>
      <c r="F10" s="4">
        <v>118</v>
      </c>
      <c r="G10" s="4">
        <v>120</v>
      </c>
      <c r="H10" s="4">
        <v>114</v>
      </c>
      <c r="I10" s="4"/>
      <c r="J10" s="4"/>
      <c r="K10" s="4"/>
      <c r="L10" s="4"/>
      <c r="M10" s="4"/>
      <c r="N10" s="4"/>
      <c r="O10" s="4"/>
      <c r="P10" s="4">
        <v>498</v>
      </c>
    </row>
    <row r="11" spans="1:16">
      <c r="A11" s="18" t="s">
        <v>13</v>
      </c>
      <c r="B11" s="4"/>
      <c r="C11" s="4">
        <v>0</v>
      </c>
      <c r="D11" s="4">
        <v>338</v>
      </c>
      <c r="E11" s="4">
        <v>610</v>
      </c>
      <c r="F11" s="4">
        <v>511</v>
      </c>
      <c r="G11" s="4">
        <v>608</v>
      </c>
      <c r="H11" s="4">
        <v>512</v>
      </c>
      <c r="I11" s="4"/>
      <c r="J11" s="4"/>
      <c r="K11" s="4"/>
      <c r="L11" s="4"/>
      <c r="M11" s="4"/>
      <c r="N11" s="4"/>
      <c r="O11" s="4"/>
      <c r="P11" s="4">
        <v>5066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>
      <selection activeCell="B5" sqref="B5"/>
    </sheetView>
  </sheetViews>
  <sheetFormatPr baseColWidth="10" defaultColWidth="9.140625" defaultRowHeight="15"/>
  <cols>
    <col min="1" max="1" width="35.5703125" style="19" customWidth="1"/>
    <col min="2" max="2" width="9.5703125" style="22" customWidth="1"/>
  </cols>
  <sheetData>
    <row r="1" spans="1:16">
      <c r="A1" s="17" t="s">
        <v>81</v>
      </c>
      <c r="B1" s="6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>
      <c r="A2" s="18" t="s">
        <v>106</v>
      </c>
      <c r="B2" s="4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>
        <v>92</v>
      </c>
      <c r="N2" s="4">
        <v>91</v>
      </c>
      <c r="O2" s="4">
        <v>107</v>
      </c>
      <c r="P2" s="4">
        <v>290</v>
      </c>
    </row>
    <row r="3" spans="1:16">
      <c r="A3" s="18" t="s">
        <v>107</v>
      </c>
      <c r="B3" s="4" t="s">
        <v>146</v>
      </c>
      <c r="C3" s="4"/>
      <c r="D3" s="4"/>
      <c r="E3" s="4"/>
      <c r="F3" s="4"/>
      <c r="G3" s="4"/>
      <c r="H3" s="4"/>
      <c r="I3" s="4">
        <v>240</v>
      </c>
      <c r="J3" s="4">
        <v>170</v>
      </c>
      <c r="K3" s="4">
        <v>137</v>
      </c>
      <c r="L3" s="4">
        <v>128</v>
      </c>
      <c r="M3" s="4"/>
      <c r="N3" s="4"/>
      <c r="O3" s="4"/>
      <c r="P3" s="4">
        <v>675</v>
      </c>
    </row>
    <row r="4" spans="1:16">
      <c r="A4" s="18" t="s">
        <v>108</v>
      </c>
      <c r="B4" s="4" t="s">
        <v>146</v>
      </c>
      <c r="C4" s="4"/>
      <c r="D4" s="4"/>
      <c r="E4" s="4"/>
      <c r="F4" s="4"/>
      <c r="G4" s="4"/>
      <c r="H4" s="4"/>
      <c r="I4" s="4">
        <v>238</v>
      </c>
      <c r="J4" s="4">
        <v>205</v>
      </c>
      <c r="K4" s="4">
        <v>155</v>
      </c>
      <c r="L4" s="4">
        <v>186</v>
      </c>
      <c r="M4" s="4"/>
      <c r="N4" s="4"/>
      <c r="O4" s="4"/>
      <c r="P4" s="4">
        <v>784</v>
      </c>
    </row>
    <row r="5" spans="1:16">
      <c r="A5" s="18" t="s">
        <v>109</v>
      </c>
      <c r="B5" s="4" t="s">
        <v>145</v>
      </c>
      <c r="C5" s="4">
        <v>11</v>
      </c>
      <c r="D5" s="4">
        <v>15</v>
      </c>
      <c r="E5" s="4">
        <v>13</v>
      </c>
      <c r="F5" s="4">
        <v>15</v>
      </c>
      <c r="G5" s="4">
        <v>16</v>
      </c>
      <c r="H5" s="4">
        <v>16</v>
      </c>
      <c r="I5" s="4"/>
      <c r="J5" s="4"/>
      <c r="K5" s="4"/>
      <c r="L5" s="4"/>
      <c r="M5" s="4"/>
      <c r="N5" s="4"/>
      <c r="O5" s="4"/>
      <c r="P5" s="4">
        <v>86</v>
      </c>
    </row>
    <row r="6" spans="1:16">
      <c r="A6" s="18" t="s">
        <v>110</v>
      </c>
      <c r="B6" s="4" t="s">
        <v>145</v>
      </c>
      <c r="C6" s="4">
        <v>35</v>
      </c>
      <c r="D6" s="4">
        <v>36</v>
      </c>
      <c r="E6" s="4">
        <v>41</v>
      </c>
      <c r="F6" s="4">
        <v>42</v>
      </c>
      <c r="G6" s="4">
        <v>25</v>
      </c>
      <c r="H6" s="4">
        <v>39</v>
      </c>
      <c r="I6" s="4"/>
      <c r="J6" s="4"/>
      <c r="K6" s="4"/>
      <c r="L6" s="4"/>
      <c r="M6" s="4"/>
      <c r="N6" s="4"/>
      <c r="O6" s="4"/>
      <c r="P6" s="4">
        <v>218</v>
      </c>
    </row>
    <row r="7" spans="1:16">
      <c r="A7" s="18" t="s">
        <v>111</v>
      </c>
      <c r="B7" s="4" t="s">
        <v>145</v>
      </c>
      <c r="C7" s="4">
        <v>11</v>
      </c>
      <c r="D7" s="4">
        <v>26</v>
      </c>
      <c r="E7" s="4">
        <v>35</v>
      </c>
      <c r="F7" s="4">
        <v>23</v>
      </c>
      <c r="G7" s="4">
        <v>40</v>
      </c>
      <c r="H7" s="4">
        <v>21</v>
      </c>
      <c r="I7" s="4"/>
      <c r="J7" s="4"/>
      <c r="K7" s="4"/>
      <c r="L7" s="4"/>
      <c r="M7" s="4"/>
      <c r="N7" s="4"/>
      <c r="O7" s="4"/>
      <c r="P7" s="4">
        <v>156</v>
      </c>
    </row>
    <row r="8" spans="1:16">
      <c r="A8" s="18" t="s">
        <v>112</v>
      </c>
      <c r="B8" s="4" t="s">
        <v>145</v>
      </c>
      <c r="C8" s="4">
        <v>28</v>
      </c>
      <c r="D8" s="4">
        <v>30</v>
      </c>
      <c r="E8" s="4">
        <v>54</v>
      </c>
      <c r="F8" s="4">
        <v>40</v>
      </c>
      <c r="G8" s="4">
        <v>47</v>
      </c>
      <c r="H8" s="4">
        <v>48</v>
      </c>
      <c r="I8" s="4"/>
      <c r="J8" s="4"/>
      <c r="K8" s="4"/>
      <c r="L8" s="4"/>
      <c r="M8" s="4"/>
      <c r="N8" s="4"/>
      <c r="O8" s="4"/>
      <c r="P8" s="4">
        <v>247</v>
      </c>
    </row>
    <row r="9" spans="1:16">
      <c r="A9" s="18" t="s">
        <v>113</v>
      </c>
      <c r="B9" s="4" t="s">
        <v>145</v>
      </c>
      <c r="C9" s="4">
        <v>48</v>
      </c>
      <c r="D9" s="4">
        <v>60</v>
      </c>
      <c r="E9" s="4">
        <v>72</v>
      </c>
      <c r="F9" s="4">
        <v>57</v>
      </c>
      <c r="G9" s="4">
        <v>54</v>
      </c>
      <c r="H9" s="4">
        <v>50</v>
      </c>
      <c r="I9" s="4"/>
      <c r="J9" s="4"/>
      <c r="K9" s="4"/>
      <c r="L9" s="4"/>
      <c r="M9" s="4"/>
      <c r="N9" s="4"/>
      <c r="O9" s="4"/>
      <c r="P9" s="4">
        <v>341</v>
      </c>
    </row>
    <row r="10" spans="1:16">
      <c r="A10" s="18" t="s">
        <v>114</v>
      </c>
      <c r="B10" s="4" t="s">
        <v>145</v>
      </c>
      <c r="C10" s="4">
        <v>16</v>
      </c>
      <c r="D10" s="4">
        <v>22</v>
      </c>
      <c r="E10" s="4">
        <v>26</v>
      </c>
      <c r="F10" s="4">
        <v>23</v>
      </c>
      <c r="G10" s="4">
        <v>28</v>
      </c>
      <c r="H10" s="4">
        <v>26</v>
      </c>
      <c r="I10" s="4"/>
      <c r="J10" s="4"/>
      <c r="K10" s="4"/>
      <c r="L10" s="4"/>
      <c r="M10" s="4"/>
      <c r="N10" s="4"/>
      <c r="O10" s="4"/>
      <c r="P10" s="4">
        <v>141</v>
      </c>
    </row>
    <row r="11" spans="1:16">
      <c r="A11" s="18" t="s">
        <v>115</v>
      </c>
      <c r="B11" s="4" t="s">
        <v>145</v>
      </c>
      <c r="C11" s="4">
        <v>19</v>
      </c>
      <c r="D11" s="4">
        <v>29</v>
      </c>
      <c r="E11" s="4">
        <v>41</v>
      </c>
      <c r="F11" s="4">
        <v>31</v>
      </c>
      <c r="G11" s="4">
        <v>37</v>
      </c>
      <c r="H11" s="4">
        <v>23</v>
      </c>
      <c r="I11" s="4"/>
      <c r="J11" s="4"/>
      <c r="K11" s="4"/>
      <c r="L11" s="4"/>
      <c r="M11" s="4"/>
      <c r="N11" s="4"/>
      <c r="O11" s="4"/>
      <c r="P11" s="4">
        <v>180</v>
      </c>
    </row>
    <row r="12" spans="1:16">
      <c r="A12" s="18" t="s">
        <v>116</v>
      </c>
      <c r="B12" s="4" t="s">
        <v>145</v>
      </c>
      <c r="C12" s="4">
        <v>0</v>
      </c>
      <c r="D12" s="4">
        <v>68</v>
      </c>
      <c r="E12" s="4">
        <v>81</v>
      </c>
      <c r="F12" s="4">
        <v>67</v>
      </c>
      <c r="G12" s="4">
        <v>100</v>
      </c>
      <c r="H12" s="4">
        <v>64</v>
      </c>
      <c r="I12" s="4"/>
      <c r="J12" s="4"/>
      <c r="K12" s="4"/>
      <c r="L12" s="4"/>
      <c r="M12" s="4"/>
      <c r="N12" s="4"/>
      <c r="O12" s="4"/>
      <c r="P12" s="4">
        <v>380</v>
      </c>
    </row>
    <row r="13" spans="1:16">
      <c r="A13" s="18" t="s">
        <v>34</v>
      </c>
      <c r="B13" s="4" t="s">
        <v>145</v>
      </c>
      <c r="C13" s="4">
        <v>21</v>
      </c>
      <c r="D13" s="4">
        <v>31</v>
      </c>
      <c r="E13" s="4">
        <v>43</v>
      </c>
      <c r="F13" s="4">
        <v>41</v>
      </c>
      <c r="G13" s="4">
        <v>38</v>
      </c>
      <c r="H13" s="4">
        <v>28</v>
      </c>
      <c r="I13" s="4"/>
      <c r="J13" s="4"/>
      <c r="K13" s="4"/>
      <c r="L13" s="4"/>
      <c r="M13" s="4"/>
      <c r="N13" s="4"/>
      <c r="O13" s="4"/>
      <c r="P13" s="4">
        <v>202</v>
      </c>
    </row>
    <row r="14" spans="1:16">
      <c r="A14" s="17" t="s">
        <v>117</v>
      </c>
      <c r="B14" s="4" t="s">
        <v>145</v>
      </c>
      <c r="C14" s="4">
        <v>50</v>
      </c>
      <c r="D14" s="4">
        <v>142</v>
      </c>
      <c r="E14" s="4">
        <v>162</v>
      </c>
      <c r="F14" s="4">
        <v>148</v>
      </c>
      <c r="G14" s="4">
        <v>144</v>
      </c>
      <c r="H14" s="4">
        <v>122</v>
      </c>
      <c r="I14" s="4"/>
      <c r="J14" s="4"/>
      <c r="K14" s="4"/>
      <c r="L14" s="4"/>
      <c r="M14" s="4"/>
      <c r="N14" s="4"/>
      <c r="O14" s="4"/>
      <c r="P14" s="4">
        <v>768</v>
      </c>
    </row>
    <row r="15" spans="1:16">
      <c r="A15" s="18" t="s">
        <v>118</v>
      </c>
      <c r="B15" s="4" t="s">
        <v>145</v>
      </c>
      <c r="C15" s="4">
        <v>45</v>
      </c>
      <c r="D15" s="4">
        <v>62</v>
      </c>
      <c r="E15" s="4">
        <v>74</v>
      </c>
      <c r="F15" s="4">
        <v>43</v>
      </c>
      <c r="G15" s="4">
        <v>54</v>
      </c>
      <c r="H15" s="4">
        <v>55</v>
      </c>
      <c r="I15" s="4"/>
      <c r="J15" s="4"/>
      <c r="K15" s="4"/>
      <c r="L15" s="4"/>
      <c r="M15" s="4"/>
      <c r="N15" s="4"/>
      <c r="O15" s="4"/>
      <c r="P15" s="4">
        <v>333</v>
      </c>
    </row>
    <row r="16" spans="1:16">
      <c r="A16" s="18" t="s">
        <v>13</v>
      </c>
      <c r="B16" s="4"/>
      <c r="C16" s="4">
        <v>284</v>
      </c>
      <c r="D16" s="4">
        <v>521</v>
      </c>
      <c r="E16" s="4">
        <v>642</v>
      </c>
      <c r="F16" s="4">
        <v>530</v>
      </c>
      <c r="G16" s="4">
        <v>583</v>
      </c>
      <c r="H16" s="4">
        <v>492</v>
      </c>
      <c r="I16" s="4">
        <v>478</v>
      </c>
      <c r="J16" s="4">
        <v>375</v>
      </c>
      <c r="K16" s="4">
        <v>292</v>
      </c>
      <c r="L16" s="4">
        <v>314</v>
      </c>
      <c r="M16" s="4">
        <v>92</v>
      </c>
      <c r="N16" s="4">
        <v>91</v>
      </c>
      <c r="O16" s="4">
        <v>107</v>
      </c>
      <c r="P16" s="4">
        <v>4801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UDS 1</vt:lpstr>
      <vt:lpstr>UDS 2</vt:lpstr>
      <vt:lpstr>UDS 3</vt:lpstr>
      <vt:lpstr>UDS 4</vt:lpstr>
      <vt:lpstr>UDS 5</vt:lpstr>
      <vt:lpstr>UDS 6</vt:lpstr>
      <vt:lpstr>UDS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2026-04-29T16:15:57Z</dcterms:modified>
</cp:coreProperties>
</file>