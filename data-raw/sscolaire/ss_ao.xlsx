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19440" windowHeight="10200" tabRatio="832"/>
  </bookViews>
  <sheets>
    <sheet name="Effectif" sheetId="7" r:id="rId1"/>
    <sheet name="Omar Idris" sheetId="49" r:id="rId2"/>
    <sheet name="Bouamama" sheetId="50" r:id="rId3"/>
    <sheet name="Technicum" sheetId="51" r:id="rId4"/>
    <sheet name="Guernini" sheetId="52" r:id="rId5"/>
    <sheet name="Birine" sheetId="53" r:id="rId6"/>
    <sheet name="Benhar" sheetId="54" r:id="rId7"/>
    <sheet name="Had sahari" sheetId="55" r:id="rId8"/>
    <sheet name="Ain fekka" sheetId="56" r:id="rId9"/>
    <sheet name="Bouiret lahdeb" sheetId="57" r:id="rId10"/>
    <sheet name="Sidi laadjel" sheetId="58" r:id="rId11"/>
    <sheet name="Hassi fedoul" sheetId="59" r:id="rId12"/>
    <sheet name="Lekhmis" sheetId="60" r:id="rId13"/>
  </sheets>
  <calcPr calcId="124519"/>
</workbook>
</file>

<file path=xl/calcChain.xml><?xml version="1.0" encoding="utf-8"?>
<calcChain xmlns="http://schemas.openxmlformats.org/spreadsheetml/2006/main">
  <c r="O13" i="60"/>
  <c r="N13"/>
  <c r="M13"/>
  <c r="L13"/>
  <c r="K13"/>
  <c r="J13"/>
  <c r="I13"/>
  <c r="H13"/>
  <c r="G13"/>
  <c r="F13"/>
  <c r="E13"/>
  <c r="D13"/>
  <c r="C13"/>
  <c r="O30" i="59"/>
  <c r="N30"/>
  <c r="M30"/>
  <c r="L30"/>
  <c r="K30"/>
  <c r="J30"/>
  <c r="I30"/>
  <c r="H30"/>
  <c r="G30"/>
  <c r="F30"/>
  <c r="E30"/>
  <c r="D30"/>
  <c r="C30"/>
  <c r="O22" i="58"/>
  <c r="N22"/>
  <c r="M22"/>
  <c r="L22"/>
  <c r="K22"/>
  <c r="J22"/>
  <c r="I22"/>
  <c r="H22"/>
  <c r="G22"/>
  <c r="F22"/>
  <c r="E22"/>
  <c r="D22"/>
  <c r="C22"/>
  <c r="O14" i="57"/>
  <c r="N14"/>
  <c r="M14"/>
  <c r="L14"/>
  <c r="K14"/>
  <c r="J14"/>
  <c r="I14"/>
  <c r="H14"/>
  <c r="G14"/>
  <c r="F14"/>
  <c r="E14"/>
  <c r="D14"/>
  <c r="C14"/>
  <c r="O29" i="56"/>
  <c r="N29"/>
  <c r="M29"/>
  <c r="L29"/>
  <c r="K29"/>
  <c r="J29"/>
  <c r="I29"/>
  <c r="H29"/>
  <c r="G29"/>
  <c r="F29"/>
  <c r="E29"/>
  <c r="D29"/>
  <c r="C29"/>
  <c r="O40" i="55"/>
  <c r="N40"/>
  <c r="M40"/>
  <c r="L40"/>
  <c r="K40"/>
  <c r="J40"/>
  <c r="I40"/>
  <c r="H40"/>
  <c r="G40"/>
  <c r="F40"/>
  <c r="E40"/>
  <c r="D40"/>
  <c r="C40"/>
  <c r="O19" i="54"/>
  <c r="N19"/>
  <c r="M19"/>
  <c r="L19"/>
  <c r="K19"/>
  <c r="J19"/>
  <c r="I19"/>
  <c r="H19"/>
  <c r="G19"/>
  <c r="F19"/>
  <c r="E19"/>
  <c r="D19"/>
  <c r="C19"/>
  <c r="O33" i="53"/>
  <c r="N33"/>
  <c r="M33"/>
  <c r="L33"/>
  <c r="K33"/>
  <c r="J33"/>
  <c r="I33"/>
  <c r="H33"/>
  <c r="G33"/>
  <c r="F33"/>
  <c r="E33"/>
  <c r="D33"/>
  <c r="C33"/>
  <c r="O8" i="52"/>
  <c r="N8"/>
  <c r="M8"/>
  <c r="L8"/>
  <c r="K8"/>
  <c r="J8"/>
  <c r="I8"/>
  <c r="H8"/>
  <c r="G8"/>
  <c r="F8"/>
  <c r="E8"/>
  <c r="D8"/>
  <c r="C8"/>
  <c r="O34" i="51"/>
  <c r="N34"/>
  <c r="M34"/>
  <c r="L34"/>
  <c r="K34"/>
  <c r="J34"/>
  <c r="I34"/>
  <c r="H34"/>
  <c r="G34"/>
  <c r="F34"/>
  <c r="E34"/>
  <c r="D34"/>
  <c r="C34"/>
  <c r="O30" i="50"/>
  <c r="N30"/>
  <c r="M30"/>
  <c r="L30"/>
  <c r="K30"/>
  <c r="J30"/>
  <c r="I30"/>
  <c r="H30"/>
  <c r="G30"/>
  <c r="F30"/>
  <c r="E30"/>
  <c r="D30"/>
  <c r="C30"/>
  <c r="O29" i="49"/>
  <c r="N29"/>
  <c r="M29"/>
  <c r="L29"/>
  <c r="K29"/>
  <c r="J29"/>
  <c r="I29"/>
  <c r="H29"/>
  <c r="G29"/>
  <c r="F29"/>
  <c r="E29"/>
  <c r="D29"/>
  <c r="C29"/>
  <c r="I30" i="7"/>
  <c r="S30"/>
  <c r="I31"/>
  <c r="S31"/>
  <c r="I32"/>
  <c r="S32"/>
  <c r="I33"/>
  <c r="S33"/>
  <c r="I34"/>
  <c r="S34"/>
  <c r="I35"/>
  <c r="S35"/>
  <c r="I36"/>
  <c r="S36"/>
  <c r="I37"/>
  <c r="S37"/>
  <c r="I38"/>
  <c r="S38"/>
  <c r="I39"/>
  <c r="S39"/>
  <c r="I40"/>
  <c r="S40"/>
  <c r="I41"/>
  <c r="S41"/>
  <c r="I42"/>
  <c r="S42"/>
  <c r="I43"/>
  <c r="S43"/>
  <c r="I44"/>
  <c r="S44"/>
  <c r="I45"/>
  <c r="S45"/>
  <c r="I46"/>
  <c r="S46"/>
  <c r="N47"/>
  <c r="S47"/>
  <c r="N48"/>
  <c r="S48"/>
  <c r="N49"/>
  <c r="S49"/>
  <c r="N50"/>
  <c r="S50"/>
  <c r="N51"/>
  <c r="S51"/>
  <c r="N52"/>
  <c r="S52"/>
  <c r="N53"/>
  <c r="R53"/>
  <c r="S53" s="1"/>
  <c r="N54"/>
  <c r="R54"/>
  <c r="S54"/>
  <c r="C55"/>
  <c r="D55"/>
  <c r="E55"/>
  <c r="F55"/>
  <c r="G55"/>
  <c r="H55"/>
  <c r="I55" s="1"/>
  <c r="J55"/>
  <c r="K55"/>
  <c r="L55"/>
  <c r="M55"/>
  <c r="N55"/>
  <c r="O55"/>
  <c r="P55"/>
  <c r="Q55"/>
  <c r="R55"/>
  <c r="C131"/>
  <c r="N199"/>
  <c r="S199" s="1"/>
  <c r="D204"/>
  <c r="E204"/>
  <c r="F204"/>
  <c r="G204"/>
  <c r="H204"/>
  <c r="C204"/>
  <c r="I436"/>
  <c r="I363"/>
  <c r="I181"/>
  <c r="I182"/>
  <c r="I142"/>
  <c r="P204"/>
  <c r="Q204"/>
  <c r="O204"/>
  <c r="S55" l="1"/>
  <c r="P239"/>
  <c r="Q239"/>
  <c r="O239"/>
  <c r="N196" l="1"/>
  <c r="I332" l="1"/>
  <c r="I333"/>
  <c r="I334"/>
  <c r="R420"/>
  <c r="P12" l="1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S415" s="1"/>
  <c r="I416"/>
  <c r="S416" s="1"/>
  <c r="I418"/>
  <c r="I419"/>
  <c r="I420"/>
  <c r="S414"/>
  <c r="I435"/>
  <c r="S435" s="1"/>
  <c r="J131"/>
  <c r="K131"/>
  <c r="L131"/>
  <c r="M131"/>
  <c r="N126"/>
  <c r="S126" s="1"/>
  <c r="I372"/>
  <c r="S372" s="1"/>
  <c r="S377"/>
  <c r="S376"/>
  <c r="N374"/>
  <c r="N375"/>
  <c r="N373"/>
  <c r="I361"/>
  <c r="S361" s="1"/>
  <c r="I362"/>
  <c r="S362" s="1"/>
  <c r="S363"/>
  <c r="I364"/>
  <c r="S364" s="1"/>
  <c r="I365"/>
  <c r="S365" s="1"/>
  <c r="I366"/>
  <c r="S366" s="1"/>
  <c r="I367"/>
  <c r="S367" s="1"/>
  <c r="I368"/>
  <c r="S368" s="1"/>
  <c r="I369"/>
  <c r="S369" s="1"/>
  <c r="I370"/>
  <c r="S370" s="1"/>
  <c r="I371"/>
  <c r="S371" s="1"/>
  <c r="I360"/>
  <c r="S360"/>
  <c r="D316"/>
  <c r="E316"/>
  <c r="F316"/>
  <c r="G316"/>
  <c r="H316"/>
  <c r="I310"/>
  <c r="I311"/>
  <c r="I315"/>
  <c r="S311"/>
  <c r="S310"/>
  <c r="N279"/>
  <c r="S279" s="1"/>
  <c r="I386" l="1"/>
  <c r="N386"/>
  <c r="P316" l="1"/>
  <c r="Q316"/>
  <c r="O316"/>
  <c r="K316"/>
  <c r="L316"/>
  <c r="M316"/>
  <c r="J316"/>
  <c r="C316"/>
  <c r="K456"/>
  <c r="L456"/>
  <c r="M456"/>
  <c r="J456"/>
  <c r="D456"/>
  <c r="E456"/>
  <c r="F456"/>
  <c r="G456"/>
  <c r="H456"/>
  <c r="C456"/>
  <c r="P421"/>
  <c r="Q421"/>
  <c r="O421"/>
  <c r="K421"/>
  <c r="L421"/>
  <c r="M421"/>
  <c r="J421"/>
  <c r="D421"/>
  <c r="E421"/>
  <c r="F421"/>
  <c r="G421"/>
  <c r="H421"/>
  <c r="C421"/>
  <c r="I316" l="1"/>
  <c r="P351"/>
  <c r="Q351"/>
  <c r="O351"/>
  <c r="K351"/>
  <c r="L351"/>
  <c r="M351"/>
  <c r="J351"/>
  <c r="D351"/>
  <c r="E351"/>
  <c r="F351"/>
  <c r="G351"/>
  <c r="H351"/>
  <c r="C351"/>
  <c r="K204"/>
  <c r="L204"/>
  <c r="M204"/>
  <c r="J204"/>
  <c r="K166"/>
  <c r="L166"/>
  <c r="M166"/>
  <c r="J166"/>
  <c r="D166"/>
  <c r="E166"/>
  <c r="F166"/>
  <c r="G166"/>
  <c r="H166"/>
  <c r="C166"/>
  <c r="Q131"/>
  <c r="P131"/>
  <c r="O131"/>
  <c r="D131"/>
  <c r="E131"/>
  <c r="F131"/>
  <c r="G131"/>
  <c r="H131"/>
  <c r="Q12" l="1"/>
  <c r="I351"/>
  <c r="O12"/>
  <c r="P283" l="1"/>
  <c r="Q283"/>
  <c r="O283"/>
  <c r="K283"/>
  <c r="L283"/>
  <c r="M283"/>
  <c r="J283"/>
  <c r="D283"/>
  <c r="E283"/>
  <c r="F283"/>
  <c r="G283"/>
  <c r="H283"/>
  <c r="C283"/>
  <c r="K239" l="1"/>
  <c r="L239"/>
  <c r="L12" s="1"/>
  <c r="M239"/>
  <c r="J239"/>
  <c r="C239"/>
  <c r="C12" s="1"/>
  <c r="E239"/>
  <c r="F239"/>
  <c r="F12" s="1"/>
  <c r="G239"/>
  <c r="H239"/>
  <c r="H12" s="1"/>
  <c r="D239"/>
  <c r="I119"/>
  <c r="S119" s="1"/>
  <c r="I269"/>
  <c r="S269" s="1"/>
  <c r="I225"/>
  <c r="S225" s="1"/>
  <c r="I224"/>
  <c r="S224" s="1"/>
  <c r="I195"/>
  <c r="S195" s="1"/>
  <c r="I194"/>
  <c r="K12" l="1"/>
  <c r="E12"/>
  <c r="M12"/>
  <c r="D12"/>
  <c r="G12"/>
  <c r="J12"/>
  <c r="I239"/>
  <c r="N125"/>
  <c r="S125" s="1"/>
  <c r="S412" l="1"/>
  <c r="S373"/>
  <c r="S374"/>
  <c r="S375"/>
  <c r="AD15" l="1"/>
  <c r="Y15"/>
  <c r="AL12"/>
  <c r="AL13"/>
  <c r="AL14"/>
  <c r="AL10"/>
  <c r="AL11"/>
  <c r="AL9"/>
  <c r="X10"/>
  <c r="X14"/>
  <c r="X13"/>
  <c r="X12"/>
  <c r="X11"/>
  <c r="AH15"/>
  <c r="X15" l="1"/>
  <c r="AL15"/>
  <c r="N417" l="1"/>
  <c r="S436"/>
  <c r="I434"/>
  <c r="S434" s="1"/>
  <c r="F9"/>
  <c r="H9"/>
  <c r="D92"/>
  <c r="E92"/>
  <c r="F92"/>
  <c r="G92"/>
  <c r="H92"/>
  <c r="C92"/>
  <c r="I331"/>
  <c r="S331" s="1"/>
  <c r="I330"/>
  <c r="S330" s="1"/>
  <c r="I273"/>
  <c r="S273" s="1"/>
  <c r="I272"/>
  <c r="S272" s="1"/>
  <c r="I271"/>
  <c r="S271" s="1"/>
  <c r="I270"/>
  <c r="S270" s="1"/>
  <c r="I268"/>
  <c r="S268" s="1"/>
  <c r="I309"/>
  <c r="S309" s="1"/>
  <c r="I308"/>
  <c r="S308" s="1"/>
  <c r="I307"/>
  <c r="S307" s="1"/>
  <c r="I306"/>
  <c r="S306" s="1"/>
  <c r="I305"/>
  <c r="S305" s="1"/>
  <c r="N278"/>
  <c r="S278" s="1"/>
  <c r="I67"/>
  <c r="I68"/>
  <c r="I69"/>
  <c r="I70"/>
  <c r="I71"/>
  <c r="I72"/>
  <c r="I73"/>
  <c r="I74"/>
  <c r="I75"/>
  <c r="I76"/>
  <c r="I77"/>
  <c r="I78"/>
  <c r="I79"/>
  <c r="I80"/>
  <c r="S80" s="1"/>
  <c r="I81"/>
  <c r="S81" s="1"/>
  <c r="I82"/>
  <c r="S82" s="1"/>
  <c r="I83"/>
  <c r="S83" s="1"/>
  <c r="G9" l="1"/>
  <c r="E9"/>
  <c r="C9"/>
  <c r="D9"/>
  <c r="S417"/>
  <c r="H10"/>
  <c r="F10"/>
  <c r="G10"/>
  <c r="E10"/>
  <c r="C10"/>
  <c r="D10"/>
  <c r="Q456"/>
  <c r="P456"/>
  <c r="O456"/>
  <c r="R455"/>
  <c r="N455"/>
  <c r="I455"/>
  <c r="R454"/>
  <c r="N454"/>
  <c r="I454"/>
  <c r="R453"/>
  <c r="N453"/>
  <c r="I453"/>
  <c r="R452"/>
  <c r="N452"/>
  <c r="I452"/>
  <c r="R451"/>
  <c r="N451"/>
  <c r="I451"/>
  <c r="R450"/>
  <c r="N450"/>
  <c r="I450"/>
  <c r="R449"/>
  <c r="N449"/>
  <c r="I449"/>
  <c r="R448"/>
  <c r="N448"/>
  <c r="I448"/>
  <c r="R447"/>
  <c r="N447"/>
  <c r="I447"/>
  <c r="R446"/>
  <c r="N446"/>
  <c r="I446"/>
  <c r="R445"/>
  <c r="N445"/>
  <c r="I445"/>
  <c r="R444"/>
  <c r="N444"/>
  <c r="I444"/>
  <c r="R443"/>
  <c r="N443"/>
  <c r="I443"/>
  <c r="R442"/>
  <c r="N442"/>
  <c r="I442"/>
  <c r="R441"/>
  <c r="N441"/>
  <c r="I441"/>
  <c r="R440"/>
  <c r="N440"/>
  <c r="I440"/>
  <c r="R439"/>
  <c r="I439"/>
  <c r="R438"/>
  <c r="I438"/>
  <c r="R437"/>
  <c r="N437"/>
  <c r="N456" s="1"/>
  <c r="I433"/>
  <c r="S433" s="1"/>
  <c r="R432"/>
  <c r="N432"/>
  <c r="I432"/>
  <c r="R431"/>
  <c r="N431"/>
  <c r="I431"/>
  <c r="R430"/>
  <c r="N430"/>
  <c r="I430"/>
  <c r="R429"/>
  <c r="N429"/>
  <c r="I429"/>
  <c r="R421"/>
  <c r="N420"/>
  <c r="R419"/>
  <c r="N419"/>
  <c r="R418"/>
  <c r="N418"/>
  <c r="R413"/>
  <c r="N413"/>
  <c r="R411"/>
  <c r="N411"/>
  <c r="R410"/>
  <c r="N410"/>
  <c r="R409"/>
  <c r="N409"/>
  <c r="R408"/>
  <c r="N408"/>
  <c r="R407"/>
  <c r="N407"/>
  <c r="R406"/>
  <c r="N406"/>
  <c r="R405"/>
  <c r="N405"/>
  <c r="R404"/>
  <c r="N404"/>
  <c r="R403"/>
  <c r="N403"/>
  <c r="R402"/>
  <c r="N402"/>
  <c r="R401"/>
  <c r="N401"/>
  <c r="R400"/>
  <c r="N400"/>
  <c r="R399"/>
  <c r="N399"/>
  <c r="R398"/>
  <c r="N398"/>
  <c r="R397"/>
  <c r="N397"/>
  <c r="R396"/>
  <c r="N396"/>
  <c r="R395"/>
  <c r="N395"/>
  <c r="I395"/>
  <c r="I421" s="1"/>
  <c r="Q386"/>
  <c r="P386"/>
  <c r="O386"/>
  <c r="M386"/>
  <c r="M14" s="1"/>
  <c r="L386"/>
  <c r="L14" s="1"/>
  <c r="K386"/>
  <c r="J386"/>
  <c r="H386"/>
  <c r="H14" s="1"/>
  <c r="G386"/>
  <c r="F386"/>
  <c r="F14" s="1"/>
  <c r="E386"/>
  <c r="D386"/>
  <c r="C386"/>
  <c r="M13"/>
  <c r="L13"/>
  <c r="K13"/>
  <c r="J13"/>
  <c r="H13"/>
  <c r="G13"/>
  <c r="F13"/>
  <c r="E13"/>
  <c r="D13"/>
  <c r="C13"/>
  <c r="I350"/>
  <c r="I349"/>
  <c r="I348"/>
  <c r="I347"/>
  <c r="I346"/>
  <c r="I345"/>
  <c r="I344"/>
  <c r="I343"/>
  <c r="I342"/>
  <c r="I341"/>
  <c r="I340"/>
  <c r="I339"/>
  <c r="I337"/>
  <c r="R336"/>
  <c r="R351" s="1"/>
  <c r="I336"/>
  <c r="N335"/>
  <c r="N351" s="1"/>
  <c r="I329"/>
  <c r="I328"/>
  <c r="I327"/>
  <c r="I326"/>
  <c r="I325"/>
  <c r="I324"/>
  <c r="Q13"/>
  <c r="P13"/>
  <c r="O13"/>
  <c r="R315"/>
  <c r="R316" s="1"/>
  <c r="N314"/>
  <c r="S314" s="1"/>
  <c r="N313"/>
  <c r="S313" s="1"/>
  <c r="N312"/>
  <c r="I304"/>
  <c r="S304" s="1"/>
  <c r="I303"/>
  <c r="S303" s="1"/>
  <c r="I302"/>
  <c r="S302" s="1"/>
  <c r="I301"/>
  <c r="S301" s="1"/>
  <c r="I300"/>
  <c r="S300" s="1"/>
  <c r="I299"/>
  <c r="S299" s="1"/>
  <c r="I298"/>
  <c r="S298" s="1"/>
  <c r="I297"/>
  <c r="S297" s="1"/>
  <c r="I296"/>
  <c r="S296" s="1"/>
  <c r="I295"/>
  <c r="S295" s="1"/>
  <c r="I294"/>
  <c r="S294" s="1"/>
  <c r="I293"/>
  <c r="S293" s="1"/>
  <c r="I292"/>
  <c r="S292" s="1"/>
  <c r="I291"/>
  <c r="R282"/>
  <c r="S282" s="1"/>
  <c r="R281"/>
  <c r="S281" s="1"/>
  <c r="R280"/>
  <c r="N277"/>
  <c r="S277" s="1"/>
  <c r="N276"/>
  <c r="S276" s="1"/>
  <c r="N275"/>
  <c r="S275" s="1"/>
  <c r="N274"/>
  <c r="I267"/>
  <c r="S267" s="1"/>
  <c r="I266"/>
  <c r="S266" s="1"/>
  <c r="I265"/>
  <c r="S265" s="1"/>
  <c r="I264"/>
  <c r="S264" s="1"/>
  <c r="I263"/>
  <c r="S263" s="1"/>
  <c r="I262"/>
  <c r="S262" s="1"/>
  <c r="I261"/>
  <c r="S261" s="1"/>
  <c r="I260"/>
  <c r="S260" s="1"/>
  <c r="I259"/>
  <c r="S259" s="1"/>
  <c r="I258"/>
  <c r="S258" s="1"/>
  <c r="I257"/>
  <c r="S257" s="1"/>
  <c r="I256"/>
  <c r="S256" s="1"/>
  <c r="I255"/>
  <c r="S255" s="1"/>
  <c r="I254"/>
  <c r="S254" s="1"/>
  <c r="I253"/>
  <c r="S253" s="1"/>
  <c r="I252"/>
  <c r="S252" s="1"/>
  <c r="I251"/>
  <c r="S251" s="1"/>
  <c r="I250"/>
  <c r="S250" s="1"/>
  <c r="I249"/>
  <c r="S249" s="1"/>
  <c r="I248"/>
  <c r="S248" s="1"/>
  <c r="I247"/>
  <c r="R239"/>
  <c r="N239"/>
  <c r="R227"/>
  <c r="S227" s="1"/>
  <c r="N226"/>
  <c r="I223"/>
  <c r="S223" s="1"/>
  <c r="I222"/>
  <c r="S222" s="1"/>
  <c r="I221"/>
  <c r="S221" s="1"/>
  <c r="I220"/>
  <c r="I219"/>
  <c r="I218"/>
  <c r="I217"/>
  <c r="I216"/>
  <c r="I215"/>
  <c r="I214"/>
  <c r="I213"/>
  <c r="R203"/>
  <c r="R202"/>
  <c r="R201"/>
  <c r="N200"/>
  <c r="N198"/>
  <c r="N197"/>
  <c r="N194"/>
  <c r="S194" s="1"/>
  <c r="I193"/>
  <c r="S193" s="1"/>
  <c r="N192"/>
  <c r="I192"/>
  <c r="N191"/>
  <c r="I191"/>
  <c r="I190"/>
  <c r="S190" s="1"/>
  <c r="N189"/>
  <c r="I189"/>
  <c r="N188"/>
  <c r="I188"/>
  <c r="N187"/>
  <c r="I187"/>
  <c r="N186"/>
  <c r="I186"/>
  <c r="N185"/>
  <c r="I185"/>
  <c r="N184"/>
  <c r="I184"/>
  <c r="N183"/>
  <c r="I183"/>
  <c r="N182"/>
  <c r="N181"/>
  <c r="N180"/>
  <c r="I180"/>
  <c r="N179"/>
  <c r="I179"/>
  <c r="N178"/>
  <c r="I178"/>
  <c r="N177"/>
  <c r="I177"/>
  <c r="N176"/>
  <c r="I176"/>
  <c r="N175"/>
  <c r="I175"/>
  <c r="Q166"/>
  <c r="P166"/>
  <c r="O166"/>
  <c r="N144"/>
  <c r="N166" s="1"/>
  <c r="I143"/>
  <c r="I141"/>
  <c r="R130"/>
  <c r="R129"/>
  <c r="R128"/>
  <c r="N127"/>
  <c r="S127" s="1"/>
  <c r="N124"/>
  <c r="S124" s="1"/>
  <c r="N123"/>
  <c r="N122"/>
  <c r="N121"/>
  <c r="I120"/>
  <c r="S120" s="1"/>
  <c r="I118"/>
  <c r="S118" s="1"/>
  <c r="I117"/>
  <c r="I116"/>
  <c r="S116" s="1"/>
  <c r="I115"/>
  <c r="I114"/>
  <c r="I113"/>
  <c r="I112"/>
  <c r="I111"/>
  <c r="I110"/>
  <c r="I109"/>
  <c r="I108"/>
  <c r="I107"/>
  <c r="I106"/>
  <c r="I105"/>
  <c r="I104"/>
  <c r="I103"/>
  <c r="I102"/>
  <c r="I101"/>
  <c r="Q92"/>
  <c r="P92"/>
  <c r="O92"/>
  <c r="M92"/>
  <c r="L92"/>
  <c r="L10" s="1"/>
  <c r="K92"/>
  <c r="J92"/>
  <c r="R91"/>
  <c r="R90"/>
  <c r="S90" s="1"/>
  <c r="R89"/>
  <c r="N88"/>
  <c r="N87"/>
  <c r="N86"/>
  <c r="N85"/>
  <c r="N84"/>
  <c r="S79"/>
  <c r="S78"/>
  <c r="S77"/>
  <c r="S76"/>
  <c r="S74"/>
  <c r="S72"/>
  <c r="S70"/>
  <c r="S68"/>
  <c r="S67"/>
  <c r="I66"/>
  <c r="I92" s="1"/>
  <c r="Q9"/>
  <c r="P9"/>
  <c r="O9"/>
  <c r="L9"/>
  <c r="J9"/>
  <c r="N204" l="1"/>
  <c r="N12" s="1"/>
  <c r="N421"/>
  <c r="M10"/>
  <c r="M9"/>
  <c r="I9"/>
  <c r="Q14"/>
  <c r="R204"/>
  <c r="Q10"/>
  <c r="G14"/>
  <c r="E14"/>
  <c r="D14"/>
  <c r="C14"/>
  <c r="K14"/>
  <c r="J14"/>
  <c r="J10"/>
  <c r="P14"/>
  <c r="O14"/>
  <c r="P10"/>
  <c r="O10"/>
  <c r="K10"/>
  <c r="N10" s="1"/>
  <c r="K9"/>
  <c r="N14"/>
  <c r="I456"/>
  <c r="I14" s="1"/>
  <c r="R12"/>
  <c r="N131"/>
  <c r="R9"/>
  <c r="I13"/>
  <c r="I10"/>
  <c r="R13"/>
  <c r="N316"/>
  <c r="S316" s="1"/>
  <c r="N13"/>
  <c r="I204"/>
  <c r="I12" s="1"/>
  <c r="N283"/>
  <c r="S197"/>
  <c r="K11"/>
  <c r="M11"/>
  <c r="J11"/>
  <c r="L11"/>
  <c r="L15" s="1"/>
  <c r="D11"/>
  <c r="D15" s="1"/>
  <c r="F11"/>
  <c r="F15" s="1"/>
  <c r="H11"/>
  <c r="C11"/>
  <c r="C15" s="1"/>
  <c r="E11"/>
  <c r="G11"/>
  <c r="O11"/>
  <c r="Q11"/>
  <c r="P11"/>
  <c r="I131"/>
  <c r="S200"/>
  <c r="I283"/>
  <c r="S332"/>
  <c r="S334"/>
  <c r="S338"/>
  <c r="S340"/>
  <c r="S342"/>
  <c r="S344"/>
  <c r="S346"/>
  <c r="S348"/>
  <c r="S350"/>
  <c r="S89"/>
  <c r="R166"/>
  <c r="R456"/>
  <c r="S129"/>
  <c r="S419"/>
  <c r="S247"/>
  <c r="S291"/>
  <c r="S85"/>
  <c r="S86"/>
  <c r="S87"/>
  <c r="S88"/>
  <c r="S91"/>
  <c r="S130"/>
  <c r="S196"/>
  <c r="S198"/>
  <c r="S201"/>
  <c r="S226"/>
  <c r="S333"/>
  <c r="S335"/>
  <c r="S337"/>
  <c r="S339"/>
  <c r="S341"/>
  <c r="S343"/>
  <c r="S345"/>
  <c r="S347"/>
  <c r="S349"/>
  <c r="S402"/>
  <c r="S404"/>
  <c r="S408"/>
  <c r="S410"/>
  <c r="S418"/>
  <c r="S420"/>
  <c r="S438"/>
  <c r="S336"/>
  <c r="S351"/>
  <c r="S440"/>
  <c r="S442"/>
  <c r="S444"/>
  <c r="S446"/>
  <c r="S448"/>
  <c r="S450"/>
  <c r="S452"/>
  <c r="S454"/>
  <c r="S439"/>
  <c r="S441"/>
  <c r="S443"/>
  <c r="S445"/>
  <c r="S447"/>
  <c r="S449"/>
  <c r="S451"/>
  <c r="S453"/>
  <c r="S455"/>
  <c r="S406"/>
  <c r="R131"/>
  <c r="N92"/>
  <c r="S84"/>
  <c r="S327"/>
  <c r="S325"/>
  <c r="R283"/>
  <c r="R386"/>
  <c r="S122"/>
  <c r="I166"/>
  <c r="S166" s="1"/>
  <c r="S110"/>
  <c r="S112"/>
  <c r="S114"/>
  <c r="S104"/>
  <c r="S106"/>
  <c r="S108"/>
  <c r="S192"/>
  <c r="S187"/>
  <c r="S185"/>
  <c r="S183"/>
  <c r="S181"/>
  <c r="S437"/>
  <c r="S429"/>
  <c r="S431"/>
  <c r="S430"/>
  <c r="S432"/>
  <c r="S395"/>
  <c r="S397"/>
  <c r="S399"/>
  <c r="S401"/>
  <c r="S413"/>
  <c r="S396"/>
  <c r="S398"/>
  <c r="S400"/>
  <c r="S403"/>
  <c r="S405"/>
  <c r="S407"/>
  <c r="S409"/>
  <c r="S411"/>
  <c r="S324"/>
  <c r="S326"/>
  <c r="S328"/>
  <c r="S329"/>
  <c r="S214"/>
  <c r="S216"/>
  <c r="S218"/>
  <c r="S220"/>
  <c r="S213"/>
  <c r="S215"/>
  <c r="S217"/>
  <c r="S219"/>
  <c r="S203"/>
  <c r="S202"/>
  <c r="S176"/>
  <c r="S178"/>
  <c r="S189"/>
  <c r="S175"/>
  <c r="S177"/>
  <c r="S179"/>
  <c r="S180"/>
  <c r="S182"/>
  <c r="S184"/>
  <c r="S186"/>
  <c r="S188"/>
  <c r="S191"/>
  <c r="S144"/>
  <c r="S142"/>
  <c r="S141"/>
  <c r="S143"/>
  <c r="S123"/>
  <c r="S102"/>
  <c r="S103"/>
  <c r="S105"/>
  <c r="S107"/>
  <c r="S109"/>
  <c r="S111"/>
  <c r="S113"/>
  <c r="S115"/>
  <c r="S101"/>
  <c r="S117"/>
  <c r="S66"/>
  <c r="S69"/>
  <c r="S71"/>
  <c r="S73"/>
  <c r="S75"/>
  <c r="R92"/>
  <c r="S121"/>
  <c r="S128"/>
  <c r="S274"/>
  <c r="S280"/>
  <c r="S312"/>
  <c r="S315"/>
  <c r="N9" l="1"/>
  <c r="G15"/>
  <c r="O15"/>
  <c r="R10"/>
  <c r="J15"/>
  <c r="R14"/>
  <c r="S14" s="1"/>
  <c r="P15"/>
  <c r="E15"/>
  <c r="K15"/>
  <c r="S456"/>
  <c r="S12"/>
  <c r="R11"/>
  <c r="S239"/>
  <c r="N11"/>
  <c r="S13"/>
  <c r="M15"/>
  <c r="Q15"/>
  <c r="I11"/>
  <c r="I15" s="1"/>
  <c r="H15"/>
  <c r="S10"/>
  <c r="S9"/>
  <c r="S421"/>
  <c r="S131"/>
  <c r="S283"/>
  <c r="S92"/>
  <c r="S386"/>
  <c r="S204"/>
  <c r="N15" l="1"/>
  <c r="R15"/>
  <c r="S11"/>
  <c r="S15" l="1"/>
</calcChain>
</file>

<file path=xl/sharedStrings.xml><?xml version="1.0" encoding="utf-8"?>
<sst xmlns="http://schemas.openxmlformats.org/spreadsheetml/2006/main" count="1418" uniqueCount="306">
  <si>
    <t>TOTAL</t>
  </si>
  <si>
    <t>b</t>
  </si>
  <si>
    <t>TOTALE</t>
  </si>
  <si>
    <t>ETABLISSEMENTS</t>
  </si>
  <si>
    <t xml:space="preserve">   République Algrienne Démocratique et Populaire</t>
  </si>
  <si>
    <t xml:space="preserve">   E P S P  d'Ain Oussera</t>
  </si>
  <si>
    <t>P  R  I  M  A  I  R  E</t>
  </si>
  <si>
    <t>M  O  Y  E  N</t>
  </si>
  <si>
    <t>S E C O N D A I R E</t>
  </si>
  <si>
    <t>(  U  D  S  )</t>
  </si>
  <si>
    <t>P,Sco</t>
  </si>
  <si>
    <t>1°A</t>
  </si>
  <si>
    <t>2°A</t>
  </si>
  <si>
    <t>3°A</t>
  </si>
  <si>
    <t>4°A</t>
  </si>
  <si>
    <t>5°A</t>
  </si>
  <si>
    <t>Total</t>
  </si>
  <si>
    <t xml:space="preserve">UDS  Ain oussera ( Omar Idriss ) </t>
  </si>
  <si>
    <t>UDS Ain ousseara ( Bouamama )</t>
  </si>
  <si>
    <t xml:space="preserve">UDS Ain ousseara (  Abdelbaki ) </t>
  </si>
  <si>
    <t xml:space="preserve"> UDS Birine    ( Mouhad B/Att,,,)</t>
  </si>
  <si>
    <t xml:space="preserve"> UDS H,Sahary   ( Gherbi  Ou,,,)</t>
  </si>
  <si>
    <t xml:space="preserve"> UDS  sidi Laadje   ( Lycée Poly )</t>
  </si>
  <si>
    <t>T  O  T  A  L</t>
  </si>
  <si>
    <t>Mohamed merissi</t>
  </si>
  <si>
    <t>Tarchoune Mustafa</t>
  </si>
  <si>
    <t>Lakhdar Boudiaf</t>
  </si>
  <si>
    <t>Farhat Marhoun</t>
  </si>
  <si>
    <t>Med Sedik benyahia</t>
  </si>
  <si>
    <t>Rahmani Med</t>
  </si>
  <si>
    <t>Fakani Laamouri</t>
  </si>
  <si>
    <t>Djoughma Ramdhane</t>
  </si>
  <si>
    <t>Missaoui Messoud</t>
  </si>
  <si>
    <t>Taibaoui Messoude</t>
  </si>
  <si>
    <t>Farhat Tayeb</t>
  </si>
  <si>
    <t>Med laid el khalifa</t>
  </si>
  <si>
    <t>Chaabani Mohamed</t>
  </si>
  <si>
    <t>BenSlimane Mohamed</t>
  </si>
  <si>
    <t>Moufdi Zakaria</t>
  </si>
  <si>
    <t>Ziani Hafidh</t>
  </si>
  <si>
    <t>Rahmani Benazouze</t>
  </si>
  <si>
    <t>Lycée Omar Idriss</t>
  </si>
  <si>
    <t>Hadji Aissa</t>
  </si>
  <si>
    <t>Khadija Oumelmouminin</t>
  </si>
  <si>
    <t>Hairech Aek</t>
  </si>
  <si>
    <t>Kacimi Elhassani</t>
  </si>
  <si>
    <t>Yahia Benalia</t>
  </si>
  <si>
    <t>Souida Aek</t>
  </si>
  <si>
    <t>Lamine Abderahim</t>
  </si>
  <si>
    <t>Taibi Belkacem</t>
  </si>
  <si>
    <t>Lemir Aek</t>
  </si>
  <si>
    <t>5 Juillet (Naib)</t>
  </si>
  <si>
    <t>Bachir el Ibrahimi</t>
  </si>
  <si>
    <t>Aicha Oumelmoumnine</t>
  </si>
  <si>
    <t>Malek Bennabi</t>
  </si>
  <si>
    <t>Lhadj Bouakline</t>
  </si>
  <si>
    <t>Mohamed Benakcha</t>
  </si>
  <si>
    <t>CEM Benbadis</t>
  </si>
  <si>
    <t>Bouzidaoui Benazouz</t>
  </si>
  <si>
    <t>Si el Houeas</t>
  </si>
  <si>
    <t>Cheikh Bouamama</t>
  </si>
  <si>
    <t>Derbal Slimane  ( n 02 )</t>
  </si>
  <si>
    <t>Slimani Slimane</t>
  </si>
  <si>
    <t>Mostfaoui Belkacem</t>
  </si>
  <si>
    <t>18 Fevrier</t>
  </si>
  <si>
    <t>Chouaf Saad</t>
  </si>
  <si>
    <t>Gamora Abdelhamid</t>
  </si>
  <si>
    <t>Fares Benmhal</t>
  </si>
  <si>
    <t>Rebhi Laaihar</t>
  </si>
  <si>
    <t>1er Novembre</t>
  </si>
  <si>
    <t>Dhailis Ahmed</t>
  </si>
  <si>
    <t>Zaidi Daoud</t>
  </si>
  <si>
    <t>20 Aout</t>
  </si>
  <si>
    <t>Colonnel Lotfi</t>
  </si>
  <si>
    <t>Larbi Benmehidi</t>
  </si>
  <si>
    <t>Khamkham Ahmed</t>
  </si>
  <si>
    <t>Omrane Tayeb</t>
  </si>
  <si>
    <t>Guerzou Rabeh</t>
  </si>
  <si>
    <t>Elmaadher</t>
  </si>
  <si>
    <t>Bouzidaoui Med</t>
  </si>
  <si>
    <t>Zerrouel Lakhdar</t>
  </si>
  <si>
    <t>el Kacimi EL Hassani</t>
  </si>
  <si>
    <t>Goudjal Mohamed</t>
  </si>
  <si>
    <t>Benkhaldoune</t>
  </si>
  <si>
    <t>Ahmed Abdelrazek</t>
  </si>
  <si>
    <t>08 Mai</t>
  </si>
  <si>
    <t>Merbah Djaafor</t>
  </si>
  <si>
    <t>C  E  M Daibes Mokhtar</t>
  </si>
  <si>
    <t>Saihi Mokhtar</t>
  </si>
  <si>
    <t>Elhadi Ben attalah</t>
  </si>
  <si>
    <t>Bakhouche Mokhtar</t>
  </si>
  <si>
    <t>Chenouf Belgacem</t>
  </si>
  <si>
    <t>Mohammed Abdelouahab</t>
  </si>
  <si>
    <t>Souida Abdelkader</t>
  </si>
  <si>
    <t>Khairani Ahmed</t>
  </si>
  <si>
    <t>Abdelhamid Benbadis</t>
  </si>
  <si>
    <t>Mohammed Benslim</t>
  </si>
  <si>
    <t>Bouzian Benyahia</t>
  </si>
  <si>
    <t>Bloc Nouveau 1RA/boucif</t>
  </si>
  <si>
    <t>Bloc N 1 R Had Sahari</t>
  </si>
  <si>
    <t>Elnfaifikha(Elkacimi)</t>
  </si>
  <si>
    <t>Haouari Boumedian</t>
  </si>
  <si>
    <t>Ahmed Bensaad</t>
  </si>
  <si>
    <t>Ameur Lakhdar</t>
  </si>
  <si>
    <t>Mohad Benattalah</t>
  </si>
  <si>
    <t>Med Seddik B/Yahia</t>
  </si>
  <si>
    <t>Gacem Benalia</t>
  </si>
  <si>
    <t>Benkhatou Ismail Draa/Soua</t>
  </si>
  <si>
    <t>Kacimi Benallia</t>
  </si>
  <si>
    <t>Dalmadji Djalloul</t>
  </si>
  <si>
    <t>BN Med Hamidani</t>
  </si>
  <si>
    <t>Bencheddad Abdelkader</t>
  </si>
  <si>
    <t xml:space="preserve">mouloude kacem </t>
  </si>
  <si>
    <t>Abdi mouley Koudia</t>
  </si>
  <si>
    <t xml:space="preserve">yacine </t>
  </si>
  <si>
    <t>Tarek Banouziad</t>
  </si>
  <si>
    <t>Omar Idriss</t>
  </si>
  <si>
    <t>Okba Banounafaa</t>
  </si>
  <si>
    <t>Benathmane el Cheikh</t>
  </si>
  <si>
    <t>Zioueche Mohamed</t>
  </si>
  <si>
    <t>Bachiri Ali</t>
  </si>
  <si>
    <t>Azaibar Mokhtar</t>
  </si>
  <si>
    <t>Chabira  Naimi</t>
  </si>
  <si>
    <t>Coonel Lotfi</t>
  </si>
  <si>
    <t>Rezigui el Hadj</t>
  </si>
  <si>
    <t>Merikhi Slami</t>
  </si>
  <si>
    <t>Ferket el M'raikhia</t>
  </si>
  <si>
    <t>Akkar Ahmed</t>
  </si>
  <si>
    <t>Ainterche /cherbe</t>
  </si>
  <si>
    <t>Gharbi Benalia</t>
  </si>
  <si>
    <t>Karnout Saleh</t>
  </si>
  <si>
    <t>Saigaa Med</t>
  </si>
  <si>
    <t>Sdara</t>
  </si>
  <si>
    <t>B/Daghmoum Mohamed</t>
  </si>
  <si>
    <t>el Fadjer</t>
  </si>
  <si>
    <t>Dhifaoui Meslem</t>
  </si>
  <si>
    <t>Nouveau(Gharbi M)</t>
  </si>
  <si>
    <t>Ai Imessaoudene  Said</t>
  </si>
  <si>
    <t>Gherbi el Ouakel</t>
  </si>
  <si>
    <t>Bentaher Kaddour</t>
  </si>
  <si>
    <t>Garbi Abdelhafidh</t>
  </si>
  <si>
    <t>Bouaicha Saad</t>
  </si>
  <si>
    <t>Khaouni Baizid</t>
  </si>
  <si>
    <t>Falgouma Belkacem</t>
  </si>
  <si>
    <t>Bourazek Mohamed</t>
  </si>
  <si>
    <t>Oukal Serai</t>
  </si>
  <si>
    <t>Mohammed Boudhiaf</t>
  </si>
  <si>
    <t>Rabeh Bitat</t>
  </si>
  <si>
    <t>Kolia Yahia</t>
  </si>
  <si>
    <t>Kaddache Belkacem</t>
  </si>
  <si>
    <t>Ben kous menad</t>
  </si>
  <si>
    <t>Fadel ali</t>
  </si>
  <si>
    <t>CEM Ouakel Mohamed</t>
  </si>
  <si>
    <t>CEM Ouakel  lakheder</t>
  </si>
  <si>
    <t xml:space="preserve">C E M guerada belkacem  </t>
  </si>
  <si>
    <t>Cheikh Mokhtar Khalifa</t>
  </si>
  <si>
    <t>Colonel Amirouche</t>
  </si>
  <si>
    <t>Segaia</t>
  </si>
  <si>
    <t>Hassi Dehim</t>
  </si>
  <si>
    <t>Ouled si Amar</t>
  </si>
  <si>
    <t>C E M(touate med)</t>
  </si>
  <si>
    <t>Lycée Taibi Kouider</t>
  </si>
  <si>
    <t>Bensidi Aissa 01</t>
  </si>
  <si>
    <t>Djanane Ahmed</t>
  </si>
  <si>
    <t>Haouche Amar</t>
  </si>
  <si>
    <t>Berni Yahia</t>
  </si>
  <si>
    <t>Djabouri Tayeb</t>
  </si>
  <si>
    <t>Adouane Aissa</t>
  </si>
  <si>
    <t>Djefal Atia</t>
  </si>
  <si>
    <t>Shil Maamar</t>
  </si>
  <si>
    <t>Bousbouaa Laamouri</t>
  </si>
  <si>
    <t>Souiyah Slimane (elaarja)</t>
  </si>
  <si>
    <t>CEM Hamdi Belkacem</t>
  </si>
  <si>
    <t>CEM Doukani Slimane</t>
  </si>
  <si>
    <t>CEM Maamer Amer</t>
  </si>
  <si>
    <t>Lycée  Ramdhani Ahmed</t>
  </si>
  <si>
    <t>Lycée  Bouaaza yahya</t>
  </si>
  <si>
    <t>Chellali Benzohra</t>
  </si>
  <si>
    <t>Mesaadi ridha</t>
  </si>
  <si>
    <t>Djaber Amara</t>
  </si>
  <si>
    <t>Benani Menad</t>
  </si>
  <si>
    <t>Belhoute Belhoute</t>
  </si>
  <si>
    <t>Abidette Boudjmaa</t>
  </si>
  <si>
    <t>Soultani Ali</t>
  </si>
  <si>
    <t>Nassri Ali</t>
  </si>
  <si>
    <t>Torki Elbahri</t>
  </si>
  <si>
    <t>Djabali Aek</t>
  </si>
  <si>
    <t>Hor Aek</t>
  </si>
  <si>
    <t>Djaouabi Mokhtar</t>
  </si>
  <si>
    <t xml:space="preserve"> Abidete Med</t>
  </si>
  <si>
    <t>Bouziane Med</t>
  </si>
  <si>
    <t>Nassri Messoude</t>
  </si>
  <si>
    <t>Abidete Laihar</t>
  </si>
  <si>
    <t>Bloc Nouveau Nord</t>
  </si>
  <si>
    <t>Bloc Nouveau Sud</t>
  </si>
  <si>
    <t>Boudebous Nacer</t>
  </si>
  <si>
    <t>C E M  Amiri aissa</t>
  </si>
  <si>
    <t>C E M  Zerkaoui Ghalem</t>
  </si>
  <si>
    <t>Lycée Djaouabi Hocine</t>
  </si>
  <si>
    <t>Ahmed Abbès</t>
  </si>
  <si>
    <t>Tounssi Bahloul</t>
  </si>
  <si>
    <t>Baiaz Missoum</t>
  </si>
  <si>
    <t>Allouane Bachir</t>
  </si>
  <si>
    <t>C E M</t>
  </si>
  <si>
    <t>Bloc Nouveau B1(kacem Sayeh)</t>
  </si>
  <si>
    <t>Bahloul Boubaker(Horabet)</t>
  </si>
  <si>
    <t>Bakhouche Benhalel(Ain Karma)</t>
  </si>
  <si>
    <t>Dahmani Kouider(Dait Lben)</t>
  </si>
  <si>
    <t>Abikchi Med seghir(Touila)</t>
  </si>
  <si>
    <t>El razi</t>
  </si>
  <si>
    <t xml:space="preserve">     Année  Scolaire  2021/2022</t>
  </si>
  <si>
    <t xml:space="preserve">          Minstère de la Santé  </t>
  </si>
  <si>
    <t>Keddache Said</t>
  </si>
  <si>
    <t>Nouveau (Saifi Med )ougis merb</t>
  </si>
  <si>
    <t>Chikh Bouamama(Djaafor)</t>
  </si>
  <si>
    <t>Lakhali (Medri)</t>
  </si>
  <si>
    <t>Okba Iben nafiaa(ghaoui)</t>
  </si>
  <si>
    <t>Hai Benbadis(ghouini)</t>
  </si>
  <si>
    <t>19-Mars(Negziou)</t>
  </si>
  <si>
    <t xml:space="preserve">DSP Djelfa                                                       Effectif  des  èlèves                                                </t>
  </si>
  <si>
    <t>cantine Scol</t>
  </si>
  <si>
    <t>Fonc</t>
  </si>
  <si>
    <t>Moulelkhaloua(elfadjr)</t>
  </si>
  <si>
    <t>non Fonc</t>
  </si>
  <si>
    <t>06 Cantines Scolaires</t>
  </si>
  <si>
    <t>Cantines Sco</t>
  </si>
  <si>
    <t>Younssi Med(Maamri)</t>
  </si>
  <si>
    <t>09 Cantines Scolaires</t>
  </si>
  <si>
    <t>Saifi Mohamed(Lonas Farhat)</t>
  </si>
  <si>
    <t xml:space="preserve"> Sidi lakhder</t>
  </si>
  <si>
    <t>Djanane Tayeb</t>
  </si>
  <si>
    <t>Aissaou i Baizid</t>
  </si>
  <si>
    <t>Laalage Rifia(kadache rabeh)</t>
  </si>
  <si>
    <t>Bloc Faidh Lahneche</t>
  </si>
  <si>
    <t>Bloc Faidh Ezouia</t>
  </si>
  <si>
    <t>EP Elhodhen</t>
  </si>
  <si>
    <t>EP Elkasria</t>
  </si>
  <si>
    <t>bloc nouveau</t>
  </si>
  <si>
    <t>Ouad Bouaicha</t>
  </si>
  <si>
    <t>Mohamed Benmimoune(Bouhos)</t>
  </si>
  <si>
    <t>²</t>
  </si>
  <si>
    <t>Seggaie</t>
  </si>
  <si>
    <t>12 Cantines Scolaires+3+1</t>
  </si>
  <si>
    <t>CEM MESSOUS AHMED(Nouveau)</t>
  </si>
  <si>
    <t>* Ahmed Zabana(slimani rabeh)</t>
  </si>
  <si>
    <t>kacimi Elhassani abd hafith</t>
  </si>
  <si>
    <t>Laalbe</t>
  </si>
  <si>
    <t>Com  Ghalabe</t>
  </si>
  <si>
    <t>Bouamara Med seghir</t>
  </si>
  <si>
    <t>Bousedraia</t>
  </si>
  <si>
    <t>Merbah Mohamed(Dokani)</t>
  </si>
  <si>
    <t>Laab Elmoukhtar(Touicha)</t>
  </si>
  <si>
    <t>Ouad Boutchicha</t>
  </si>
  <si>
    <t>Guendouz S Elkharedj</t>
  </si>
  <si>
    <t xml:space="preserve"> </t>
  </si>
  <si>
    <t>EP Sebiha Sliman</t>
  </si>
  <si>
    <t>EP Kouidri Khelifa</t>
  </si>
  <si>
    <t>EP B Had sahari</t>
  </si>
  <si>
    <t>CEM Nouveau Bouaicha Ali</t>
  </si>
  <si>
    <t>Saigaa Ali</t>
  </si>
  <si>
    <t>Karnot Saleh Dokana</t>
  </si>
  <si>
    <t>Bloc Laaouar(Gharbi Ahmed)</t>
  </si>
  <si>
    <t>Bennail Chaoui</t>
  </si>
  <si>
    <t>EP Lachkar</t>
  </si>
  <si>
    <t>Khalfoune Belkheir</t>
  </si>
  <si>
    <t>Non Fonc</t>
  </si>
  <si>
    <t>,</t>
  </si>
  <si>
    <t>Alim Yahia</t>
  </si>
  <si>
    <t>C E M el Nsser(salmi Abdhai)</t>
  </si>
  <si>
    <t>CEM Zidi Boudjmaa</t>
  </si>
  <si>
    <t>Merzoug Youcef</t>
  </si>
  <si>
    <t xml:space="preserve">Boumaidouna </t>
  </si>
  <si>
    <t>Tarf elchih</t>
  </si>
  <si>
    <t>Ouled zebbar</t>
  </si>
  <si>
    <t>Iptidaia dakhilia</t>
  </si>
  <si>
    <t>Lycée Ben saad Bouhafs(Teh)</t>
  </si>
  <si>
    <t>Lycée Bacine latrache</t>
  </si>
  <si>
    <t>Bloc Nouveau(Med B/guetttaf)</t>
  </si>
  <si>
    <t>bloc N  draa souari</t>
  </si>
  <si>
    <t>Kerkeb Yahia( sed)</t>
  </si>
  <si>
    <t>youcefi Aek ( hbile)</t>
  </si>
  <si>
    <t>Elfaiaate(Abdi Aissa)</t>
  </si>
  <si>
    <t>guelib  tir(Berdaia)</t>
  </si>
  <si>
    <t>Bloc Nouveau kh</t>
  </si>
  <si>
    <t>Bloc Nouveau Kacimi(ghoulMed)</t>
  </si>
  <si>
    <t>Megueg Aek</t>
  </si>
  <si>
    <t>D 400 Logment</t>
  </si>
  <si>
    <t>Nouveau CEM (ancien lycee)</t>
  </si>
  <si>
    <t>Lycée hani mohamed bel hadi</t>
  </si>
  <si>
    <t xml:space="preserve">     Année  Scolaire  2025/2026Total</t>
  </si>
  <si>
    <t xml:space="preserve">     Année  Scolaire  2025/2026Omar Idris</t>
  </si>
  <si>
    <t xml:space="preserve">     Année  Scolaire  2025/2026Bouamama</t>
  </si>
  <si>
    <t xml:space="preserve">     Année  Scolaire  2025/2026Technicum</t>
  </si>
  <si>
    <t xml:space="preserve">     Année  Scolaire  2025/2026 Guernini</t>
  </si>
  <si>
    <t xml:space="preserve">     Année  Scolaire  2025/2026Birine</t>
  </si>
  <si>
    <t xml:space="preserve">     Année  Scolaire  2025/2026 Benhar</t>
  </si>
  <si>
    <t xml:space="preserve">     Année  Scolaire  2025/2026 Had sahari</t>
  </si>
  <si>
    <t xml:space="preserve">     Année  Scolaire  2025/2026Ain fekka</t>
  </si>
  <si>
    <t xml:space="preserve">     Année  Scolaire  2025/2026 Bouiret lahdeb</t>
  </si>
  <si>
    <t xml:space="preserve">     Année  Scolaire  2025/2026 Sidi laadjel</t>
  </si>
  <si>
    <t xml:space="preserve">     Année  Scolaire  2025/2026 Hassi fedoul</t>
  </si>
  <si>
    <t xml:space="preserve">     Année  Scolaire  2025/2026 Lekhmis</t>
  </si>
  <si>
    <t xml:space="preserve">DSP Djelfa                                                    Effectif  des  èlèves                                        </t>
  </si>
  <si>
    <t>p</t>
  </si>
  <si>
    <t>m</t>
  </si>
  <si>
    <t>s</t>
  </si>
</sst>
</file>

<file path=xl/styles.xml><?xml version="1.0" encoding="utf-8"?>
<styleSheet xmlns="http://schemas.openxmlformats.org/spreadsheetml/2006/main">
  <numFmts count="1">
    <numFmt numFmtId="164" formatCode="_-* #,##0.00\ &quot;€&quot;_-;\-* #,##0.00\ &quot;€&quot;_-;_-* &quot;-&quot;??\ &quot;€&quot;_-;_-@_-"/>
  </numFmts>
  <fonts count="54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6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4"/>
      <color indexed="10"/>
      <name val="Arial"/>
      <family val="2"/>
    </font>
    <font>
      <i/>
      <sz val="14"/>
      <color indexed="9"/>
      <name val="Arial"/>
      <family val="2"/>
    </font>
    <font>
      <i/>
      <sz val="10"/>
      <name val="Arial"/>
      <family val="2"/>
    </font>
    <font>
      <b/>
      <i/>
      <sz val="11"/>
      <color indexed="10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b/>
      <i/>
      <sz val="14"/>
      <name val="Arial"/>
      <family val="2"/>
    </font>
    <font>
      <i/>
      <sz val="16"/>
      <name val="Arial"/>
      <family val="2"/>
    </font>
    <font>
      <b/>
      <i/>
      <sz val="18"/>
      <name val="Arial"/>
      <family val="2"/>
    </font>
    <font>
      <i/>
      <sz val="16"/>
      <color indexed="10"/>
      <name val="Arial"/>
      <family val="2"/>
    </font>
    <font>
      <b/>
      <sz val="14"/>
      <name val="Arial"/>
      <family val="2"/>
    </font>
    <font>
      <i/>
      <sz val="12"/>
      <color indexed="10"/>
      <name val="Arial"/>
      <family val="2"/>
    </font>
    <font>
      <i/>
      <sz val="12"/>
      <color indexed="9"/>
      <name val="Arial"/>
      <family val="2"/>
    </font>
    <font>
      <b/>
      <i/>
      <sz val="12"/>
      <name val="Arial"/>
      <family val="2"/>
    </font>
    <font>
      <b/>
      <i/>
      <sz val="12"/>
      <color indexed="10"/>
      <name val="Arial"/>
      <family val="2"/>
    </font>
    <font>
      <i/>
      <sz val="12"/>
      <name val="Arial"/>
      <family val="2"/>
    </font>
    <font>
      <i/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sz val="12"/>
      <color theme="0"/>
      <name val="Arial"/>
      <family val="2"/>
    </font>
    <font>
      <sz val="12"/>
      <color indexed="5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indexed="15"/>
      <name val="Arial"/>
      <family val="2"/>
    </font>
    <font>
      <sz val="12"/>
      <color indexed="43"/>
      <name val="Arial"/>
      <family val="2"/>
    </font>
    <font>
      <sz val="12"/>
      <color indexed="41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sz val="14"/>
      <name val="Arial"/>
      <family val="2"/>
    </font>
    <font>
      <sz val="14"/>
      <color indexed="9"/>
      <name val="Arial"/>
      <family val="2"/>
    </font>
    <font>
      <sz val="14"/>
      <color theme="0"/>
      <name val="Calibri"/>
      <family val="2"/>
      <scheme val="minor"/>
    </font>
    <font>
      <sz val="14"/>
      <color indexed="50"/>
      <name val="Arial"/>
      <family val="2"/>
    </font>
    <font>
      <sz val="14"/>
      <color rgb="FF92D050"/>
      <name val="Arial"/>
      <family val="2"/>
    </font>
    <font>
      <sz val="14"/>
      <color rgb="FF669900"/>
      <name val="Arial"/>
      <family val="2"/>
    </font>
    <font>
      <sz val="14"/>
      <color indexed="8"/>
      <name val="Arial"/>
      <family val="2"/>
    </font>
    <font>
      <i/>
      <sz val="14"/>
      <name val="Arial"/>
      <family val="2"/>
    </font>
    <font>
      <i/>
      <sz val="14"/>
      <color theme="1"/>
      <name val="Arial"/>
      <family val="2"/>
    </font>
    <font>
      <sz val="16"/>
      <color indexed="8"/>
      <name val="Arial"/>
      <family val="2"/>
    </font>
    <font>
      <b/>
      <sz val="16"/>
      <name val="Arial"/>
      <family val="2"/>
    </font>
    <font>
      <sz val="16"/>
      <color indexed="9"/>
      <name val="Arial"/>
      <family val="2"/>
    </font>
    <font>
      <i/>
      <sz val="16"/>
      <color indexed="9"/>
      <name val="Arial"/>
      <family val="2"/>
    </font>
    <font>
      <i/>
      <sz val="18"/>
      <color indexed="10"/>
      <name val="Arial"/>
      <family val="2"/>
    </font>
    <font>
      <i/>
      <sz val="18"/>
      <color indexed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1CF4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10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1097">
    <xf numFmtId="0" fontId="0" fillId="0" borderId="0" xfId="0"/>
    <xf numFmtId="0" fontId="3" fillId="3" borderId="21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6" fillId="0" borderId="0" xfId="0" applyFont="1"/>
    <xf numFmtId="0" fontId="0" fillId="0" borderId="25" xfId="0" applyBorder="1"/>
    <xf numFmtId="0" fontId="5" fillId="0" borderId="0" xfId="0" applyFont="1"/>
    <xf numFmtId="0" fontId="0" fillId="0" borderId="30" xfId="0" applyBorder="1"/>
    <xf numFmtId="0" fontId="9" fillId="0" borderId="0" xfId="0" applyFont="1" applyBorder="1" applyAlignment="1"/>
    <xf numFmtId="0" fontId="9" fillId="0" borderId="20" xfId="0" applyFont="1" applyBorder="1" applyAlignment="1"/>
    <xf numFmtId="0" fontId="9" fillId="0" borderId="0" xfId="0" applyFont="1"/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0" fontId="5" fillId="3" borderId="30" xfId="0" applyFont="1" applyFill="1" applyBorder="1"/>
    <xf numFmtId="0" fontId="0" fillId="3" borderId="3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Border="1"/>
    <xf numFmtId="0" fontId="3" fillId="3" borderId="30" xfId="0" applyFont="1" applyFill="1" applyBorder="1" applyAlignment="1">
      <alignment horizontal="center"/>
    </xf>
    <xf numFmtId="0" fontId="14" fillId="0" borderId="23" xfId="0" applyFont="1" applyBorder="1" applyAlignment="1">
      <alignment horizontal="center" vertical="center"/>
    </xf>
    <xf numFmtId="0" fontId="13" fillId="5" borderId="8" xfId="0" applyFont="1" applyFill="1" applyBorder="1" applyAlignment="1">
      <alignment vertical="center"/>
    </xf>
    <xf numFmtId="0" fontId="13" fillId="5" borderId="11" xfId="0" applyFont="1" applyFill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1" fillId="5" borderId="57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vertical="center"/>
    </xf>
    <xf numFmtId="0" fontId="16" fillId="5" borderId="50" xfId="0" applyFont="1" applyFill="1" applyBorder="1" applyAlignment="1">
      <alignment horizontal="center" vertical="center"/>
    </xf>
    <xf numFmtId="0" fontId="18" fillId="5" borderId="61" xfId="0" applyFont="1" applyFill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 applyBorder="1"/>
    <xf numFmtId="0" fontId="0" fillId="0" borderId="30" xfId="0" applyBorder="1" applyAlignment="1">
      <alignment horizontal="center"/>
    </xf>
    <xf numFmtId="0" fontId="0" fillId="0" borderId="30" xfId="0" applyBorder="1"/>
    <xf numFmtId="0" fontId="0" fillId="0" borderId="36" xfId="0" applyFill="1" applyBorder="1"/>
    <xf numFmtId="0" fontId="0" fillId="0" borderId="0" xfId="0"/>
    <xf numFmtId="0" fontId="0" fillId="0" borderId="0" xfId="0" applyBorder="1" applyAlignment="1">
      <alignment horizontal="center"/>
    </xf>
    <xf numFmtId="0" fontId="3" fillId="3" borderId="41" xfId="0" applyFont="1" applyFill="1" applyBorder="1" applyAlignment="1">
      <alignment horizontal="center"/>
    </xf>
    <xf numFmtId="0" fontId="0" fillId="0" borderId="0" xfId="0" applyBorder="1"/>
    <xf numFmtId="0" fontId="0" fillId="16" borderId="0" xfId="0" applyFill="1"/>
    <xf numFmtId="0" fontId="5" fillId="0" borderId="0" xfId="0" applyFont="1" applyBorder="1" applyAlignment="1">
      <alignment horizontal="center" vertical="center" textRotation="90"/>
    </xf>
    <xf numFmtId="0" fontId="0" fillId="17" borderId="0" xfId="0" applyFill="1"/>
    <xf numFmtId="0" fontId="20" fillId="0" borderId="76" xfId="0" applyFont="1" applyBorder="1" applyAlignment="1"/>
    <xf numFmtId="0" fontId="21" fillId="5" borderId="76" xfId="0" applyFont="1" applyFill="1" applyBorder="1" applyAlignment="1"/>
    <xf numFmtId="0" fontId="24" fillId="0" borderId="25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5" fillId="4" borderId="25" xfId="0" applyFont="1" applyFill="1" applyBorder="1" applyAlignment="1">
      <alignment horizontal="center"/>
    </xf>
    <xf numFmtId="0" fontId="24" fillId="4" borderId="25" xfId="0" applyFont="1" applyFill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22" fillId="5" borderId="91" xfId="0" applyFont="1" applyFill="1" applyBorder="1" applyAlignment="1">
      <alignment vertical="center"/>
    </xf>
    <xf numFmtId="0" fontId="22" fillId="5" borderId="100" xfId="0" applyFont="1" applyFill="1" applyBorder="1" applyAlignment="1">
      <alignment vertical="center"/>
    </xf>
    <xf numFmtId="0" fontId="22" fillId="0" borderId="96" xfId="0" applyFont="1" applyBorder="1" applyAlignment="1">
      <alignment vertical="center"/>
    </xf>
    <xf numFmtId="0" fontId="22" fillId="0" borderId="85" xfId="0" applyFont="1" applyBorder="1" applyAlignment="1">
      <alignment horizontal="center" vertical="center"/>
    </xf>
    <xf numFmtId="0" fontId="20" fillId="0" borderId="0" xfId="0" applyFont="1"/>
    <xf numFmtId="0" fontId="26" fillId="0" borderId="20" xfId="0" applyFont="1" applyBorder="1" applyAlignment="1"/>
    <xf numFmtId="0" fontId="27" fillId="0" borderId="0" xfId="0" applyFont="1"/>
    <xf numFmtId="0" fontId="6" fillId="9" borderId="41" xfId="0" applyFont="1" applyFill="1" applyBorder="1" applyAlignment="1">
      <alignment horizontal="center"/>
    </xf>
    <xf numFmtId="0" fontId="26" fillId="9" borderId="14" xfId="0" applyFont="1" applyFill="1" applyBorder="1" applyAlignment="1">
      <alignment horizontal="center"/>
    </xf>
    <xf numFmtId="0" fontId="7" fillId="5" borderId="26" xfId="0" applyFont="1" applyFill="1" applyBorder="1" applyAlignment="1">
      <alignment horizontal="center"/>
    </xf>
    <xf numFmtId="0" fontId="7" fillId="5" borderId="25" xfId="0" applyFont="1" applyFill="1" applyBorder="1" applyAlignment="1">
      <alignment horizontal="center"/>
    </xf>
    <xf numFmtId="0" fontId="7" fillId="5" borderId="55" xfId="0" applyFont="1" applyFill="1" applyBorder="1" applyAlignment="1">
      <alignment horizontal="center"/>
    </xf>
    <xf numFmtId="0" fontId="7" fillId="5" borderId="41" xfId="0" applyFont="1" applyFill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26" fillId="5" borderId="15" xfId="0" applyFont="1" applyFill="1" applyBorder="1" applyAlignment="1">
      <alignment horizontal="center"/>
    </xf>
    <xf numFmtId="0" fontId="6" fillId="9" borderId="19" xfId="0" applyFont="1" applyFill="1" applyBorder="1" applyAlignment="1">
      <alignment horizontal="center"/>
    </xf>
    <xf numFmtId="0" fontId="6" fillId="6" borderId="61" xfId="0" applyFont="1" applyFill="1" applyBorder="1"/>
    <xf numFmtId="0" fontId="6" fillId="6" borderId="61" xfId="0" applyFont="1" applyFill="1" applyBorder="1" applyAlignment="1">
      <alignment horizontal="center"/>
    </xf>
    <xf numFmtId="0" fontId="28" fillId="5" borderId="15" xfId="0" applyFont="1" applyFill="1" applyBorder="1" applyAlignment="1">
      <alignment horizontal="center"/>
    </xf>
    <xf numFmtId="0" fontId="28" fillId="5" borderId="34" xfId="0" applyFont="1" applyFill="1" applyBorder="1" applyAlignment="1">
      <alignment horizontal="center"/>
    </xf>
    <xf numFmtId="0" fontId="28" fillId="5" borderId="16" xfId="0" applyFont="1" applyFill="1" applyBorder="1" applyAlignment="1">
      <alignment horizontal="center"/>
    </xf>
    <xf numFmtId="0" fontId="29" fillId="8" borderId="41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/>
    </xf>
    <xf numFmtId="0" fontId="6" fillId="6" borderId="21" xfId="0" applyFont="1" applyFill="1" applyBorder="1"/>
    <xf numFmtId="0" fontId="28" fillId="5" borderId="2" xfId="0" applyFont="1" applyFill="1" applyBorder="1" applyAlignment="1">
      <alignment horizontal="center"/>
    </xf>
    <xf numFmtId="0" fontId="28" fillId="5" borderId="0" xfId="0" applyFont="1" applyFill="1" applyBorder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29" fillId="8" borderId="14" xfId="0" applyFont="1" applyFill="1" applyBorder="1" applyAlignment="1">
      <alignment horizontal="center"/>
    </xf>
    <xf numFmtId="0" fontId="6" fillId="6" borderId="22" xfId="0" applyFont="1" applyFill="1" applyBorder="1" applyAlignment="1">
      <alignment horizontal="center"/>
    </xf>
    <xf numFmtId="0" fontId="28" fillId="5" borderId="17" xfId="0" applyFont="1" applyFill="1" applyBorder="1" applyAlignment="1">
      <alignment horizontal="center"/>
    </xf>
    <xf numFmtId="0" fontId="28" fillId="5" borderId="20" xfId="0" applyFont="1" applyFill="1" applyBorder="1" applyAlignment="1">
      <alignment horizontal="center"/>
    </xf>
    <xf numFmtId="0" fontId="28" fillId="5" borderId="18" xfId="0" applyFont="1" applyFill="1" applyBorder="1" applyAlignment="1">
      <alignment horizontal="center"/>
    </xf>
    <xf numFmtId="0" fontId="30" fillId="7" borderId="41" xfId="0" applyFont="1" applyFill="1" applyBorder="1" applyAlignment="1">
      <alignment horizontal="center"/>
    </xf>
    <xf numFmtId="0" fontId="6" fillId="8" borderId="33" xfId="0" applyFont="1" applyFill="1" applyBorder="1" applyAlignment="1">
      <alignment horizontal="center"/>
    </xf>
    <xf numFmtId="0" fontId="30" fillId="7" borderId="19" xfId="0" applyFont="1" applyFill="1" applyBorder="1" applyAlignment="1">
      <alignment horizontal="center"/>
    </xf>
    <xf numFmtId="0" fontId="6" fillId="8" borderId="14" xfId="0" applyFont="1" applyFill="1" applyBorder="1" applyAlignment="1">
      <alignment horizontal="center"/>
    </xf>
    <xf numFmtId="0" fontId="27" fillId="8" borderId="25" xfId="0" applyFont="1" applyFill="1" applyBorder="1" applyAlignment="1">
      <alignment horizontal="center" vertical="center"/>
    </xf>
    <xf numFmtId="0" fontId="26" fillId="6" borderId="41" xfId="0" applyFont="1" applyFill="1" applyBorder="1" applyAlignment="1">
      <alignment horizontal="center"/>
    </xf>
    <xf numFmtId="0" fontId="26" fillId="6" borderId="14" xfId="0" applyFont="1" applyFill="1" applyBorder="1" applyAlignment="1">
      <alignment horizontal="center"/>
    </xf>
    <xf numFmtId="0" fontId="6" fillId="6" borderId="69" xfId="0" applyFont="1" applyFill="1" applyBorder="1" applyAlignment="1">
      <alignment horizontal="center"/>
    </xf>
    <xf numFmtId="0" fontId="6" fillId="6" borderId="9" xfId="0" applyFont="1" applyFill="1" applyBorder="1"/>
    <xf numFmtId="0" fontId="6" fillId="6" borderId="68" xfId="0" applyFont="1" applyFill="1" applyBorder="1"/>
    <xf numFmtId="0" fontId="6" fillId="7" borderId="69" xfId="0" applyFont="1" applyFill="1" applyBorder="1" applyAlignment="1">
      <alignment horizontal="center"/>
    </xf>
    <xf numFmtId="0" fontId="26" fillId="0" borderId="25" xfId="0" applyFont="1" applyBorder="1" applyAlignment="1">
      <alignment horizontal="center" vertical="center"/>
    </xf>
    <xf numFmtId="0" fontId="27" fillId="0" borderId="62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27" fillId="17" borderId="0" xfId="0" applyFont="1" applyFill="1" applyBorder="1" applyAlignment="1">
      <alignment horizontal="center"/>
    </xf>
    <xf numFmtId="0" fontId="6" fillId="17" borderId="0" xfId="0" applyFont="1" applyFill="1" applyBorder="1" applyAlignment="1">
      <alignment horizontal="center"/>
    </xf>
    <xf numFmtId="0" fontId="20" fillId="0" borderId="0" xfId="0" applyFont="1" applyAlignment="1"/>
    <xf numFmtId="0" fontId="20" fillId="0" borderId="0" xfId="0" applyFont="1" applyBorder="1" applyAlignment="1"/>
    <xf numFmtId="0" fontId="20" fillId="0" borderId="20" xfId="0" applyFont="1" applyBorder="1" applyAlignment="1"/>
    <xf numFmtId="0" fontId="21" fillId="5" borderId="20" xfId="0" applyFont="1" applyFill="1" applyBorder="1" applyAlignment="1"/>
    <xf numFmtId="0" fontId="26" fillId="6" borderId="15" xfId="0" applyFont="1" applyFill="1" applyBorder="1" applyAlignment="1"/>
    <xf numFmtId="0" fontId="26" fillId="6" borderId="34" xfId="0" applyFont="1" applyFill="1" applyBorder="1" applyAlignment="1"/>
    <xf numFmtId="0" fontId="26" fillId="6" borderId="16" xfId="0" applyFont="1" applyFill="1" applyBorder="1" applyAlignment="1"/>
    <xf numFmtId="0" fontId="26" fillId="6" borderId="17" xfId="0" applyFont="1" applyFill="1" applyBorder="1" applyAlignment="1"/>
    <xf numFmtId="0" fontId="26" fillId="6" borderId="20" xfId="0" applyFont="1" applyFill="1" applyBorder="1" applyAlignment="1"/>
    <xf numFmtId="0" fontId="26" fillId="6" borderId="18" xfId="0" applyFont="1" applyFill="1" applyBorder="1" applyAlignment="1"/>
    <xf numFmtId="0" fontId="26" fillId="6" borderId="17" xfId="0" applyFont="1" applyFill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6" fillId="5" borderId="24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5" borderId="41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6" borderId="55" xfId="0" applyFont="1" applyFill="1" applyBorder="1" applyAlignment="1">
      <alignment horizontal="center"/>
    </xf>
    <xf numFmtId="0" fontId="29" fillId="7" borderId="14" xfId="0" applyFont="1" applyFill="1" applyBorder="1" applyAlignment="1">
      <alignment horizontal="center"/>
    </xf>
    <xf numFmtId="0" fontId="6" fillId="6" borderId="25" xfId="0" applyFont="1" applyFill="1" applyBorder="1" applyAlignment="1">
      <alignment horizontal="center"/>
    </xf>
    <xf numFmtId="0" fontId="6" fillId="6" borderId="22" xfId="0" applyFont="1" applyFill="1" applyBorder="1"/>
    <xf numFmtId="0" fontId="6" fillId="6" borderId="25" xfId="0" applyFont="1" applyFill="1" applyBorder="1"/>
    <xf numFmtId="0" fontId="6" fillId="6" borderId="14" xfId="0" applyFont="1" applyFill="1" applyBorder="1"/>
    <xf numFmtId="0" fontId="6" fillId="6" borderId="43" xfId="0" applyFont="1" applyFill="1" applyBorder="1" applyAlignment="1">
      <alignment horizontal="center"/>
    </xf>
    <xf numFmtId="0" fontId="28" fillId="2" borderId="0" xfId="0" applyFont="1" applyFill="1" applyBorder="1" applyAlignment="1">
      <alignment horizontal="center"/>
    </xf>
    <xf numFmtId="0" fontId="29" fillId="13" borderId="14" xfId="0" applyFont="1" applyFill="1" applyBorder="1" applyAlignment="1">
      <alignment horizontal="center"/>
    </xf>
    <xf numFmtId="0" fontId="29" fillId="8" borderId="19" xfId="0" applyFont="1" applyFill="1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0" fontId="27" fillId="8" borderId="45" xfId="0" applyFont="1" applyFill="1" applyBorder="1" applyAlignment="1">
      <alignment horizontal="center"/>
    </xf>
    <xf numFmtId="0" fontId="26" fillId="0" borderId="25" xfId="0" applyFont="1" applyBorder="1" applyAlignment="1">
      <alignment horizontal="center"/>
    </xf>
    <xf numFmtId="0" fontId="27" fillId="7" borderId="25" xfId="0" applyFont="1" applyFill="1" applyBorder="1" applyAlignment="1">
      <alignment horizontal="center"/>
    </xf>
    <xf numFmtId="0" fontId="27" fillId="8" borderId="25" xfId="0" applyFont="1" applyFill="1" applyBorder="1" applyAlignment="1">
      <alignment horizontal="center"/>
    </xf>
    <xf numFmtId="0" fontId="26" fillId="17" borderId="0" xfId="0" applyFont="1" applyFill="1" applyBorder="1" applyAlignment="1">
      <alignment horizontal="center"/>
    </xf>
    <xf numFmtId="0" fontId="6" fillId="6" borderId="62" xfId="0" applyFont="1" applyFill="1" applyBorder="1" applyAlignment="1">
      <alignment horizontal="center"/>
    </xf>
    <xf numFmtId="0" fontId="6" fillId="6" borderId="48" xfId="0" applyFont="1" applyFill="1" applyBorder="1" applyAlignment="1">
      <alignment horizontal="center"/>
    </xf>
    <xf numFmtId="0" fontId="6" fillId="6" borderId="49" xfId="0" applyFont="1" applyFill="1" applyBorder="1" applyAlignment="1">
      <alignment horizontal="center"/>
    </xf>
    <xf numFmtId="0" fontId="6" fillId="16" borderId="41" xfId="0" applyFont="1" applyFill="1" applyBorder="1" applyAlignment="1">
      <alignment horizontal="center"/>
    </xf>
    <xf numFmtId="0" fontId="6" fillId="12" borderId="41" xfId="0" applyFont="1" applyFill="1" applyBorder="1" applyAlignment="1">
      <alignment horizontal="center"/>
    </xf>
    <xf numFmtId="0" fontId="6" fillId="6" borderId="54" xfId="0" applyFont="1" applyFill="1" applyBorder="1" applyAlignment="1">
      <alignment horizontal="center"/>
    </xf>
    <xf numFmtId="0" fontId="29" fillId="16" borderId="41" xfId="0" applyFont="1" applyFill="1" applyBorder="1" applyAlignment="1">
      <alignment horizontal="center"/>
    </xf>
    <xf numFmtId="0" fontId="29" fillId="12" borderId="41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6" borderId="21" xfId="0" applyFont="1" applyFill="1" applyBorder="1" applyAlignment="1">
      <alignment vertical="center"/>
    </xf>
    <xf numFmtId="0" fontId="29" fillId="16" borderId="14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29" fillId="16" borderId="19" xfId="0" applyFont="1" applyFill="1" applyBorder="1" applyAlignment="1">
      <alignment horizontal="center"/>
    </xf>
    <xf numFmtId="0" fontId="6" fillId="7" borderId="11" xfId="0" applyFont="1" applyFill="1" applyBorder="1" applyAlignment="1">
      <alignment vertical="center"/>
    </xf>
    <xf numFmtId="0" fontId="29" fillId="6" borderId="14" xfId="0" applyFont="1" applyFill="1" applyBorder="1" applyAlignment="1">
      <alignment horizontal="center"/>
    </xf>
    <xf numFmtId="0" fontId="29" fillId="6" borderId="19" xfId="0" applyFont="1" applyFill="1" applyBorder="1" applyAlignment="1">
      <alignment horizontal="center"/>
    </xf>
    <xf numFmtId="0" fontId="29" fillId="12" borderId="19" xfId="0" applyFont="1" applyFill="1" applyBorder="1" applyAlignment="1">
      <alignment horizontal="center"/>
    </xf>
    <xf numFmtId="0" fontId="26" fillId="17" borderId="0" xfId="0" applyFont="1" applyFill="1" applyBorder="1" applyAlignment="1">
      <alignment horizontal="center" vertical="center"/>
    </xf>
    <xf numFmtId="0" fontId="27" fillId="17" borderId="0" xfId="0" applyFont="1" applyFill="1" applyBorder="1" applyAlignment="1">
      <alignment horizontal="center" vertical="center"/>
    </xf>
    <xf numFmtId="0" fontId="6" fillId="9" borderId="41" xfId="0" applyFont="1" applyFill="1" applyBorder="1"/>
    <xf numFmtId="0" fontId="27" fillId="3" borderId="62" xfId="0" applyFont="1" applyFill="1" applyBorder="1" applyAlignment="1">
      <alignment horizontal="center"/>
    </xf>
    <xf numFmtId="0" fontId="27" fillId="3" borderId="48" xfId="0" applyFont="1" applyFill="1" applyBorder="1" applyAlignment="1">
      <alignment horizontal="center"/>
    </xf>
    <xf numFmtId="0" fontId="27" fillId="3" borderId="49" xfId="0" applyFont="1" applyFill="1" applyBorder="1" applyAlignment="1">
      <alignment horizontal="center"/>
    </xf>
    <xf numFmtId="0" fontId="26" fillId="3" borderId="25" xfId="0" applyFont="1" applyFill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7" fillId="0" borderId="41" xfId="0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7" borderId="41" xfId="0" applyFont="1" applyFill="1" applyBorder="1" applyAlignment="1">
      <alignment horizontal="center"/>
    </xf>
    <xf numFmtId="0" fontId="26" fillId="8" borderId="15" xfId="0" applyFont="1" applyFill="1" applyBorder="1" applyAlignment="1">
      <alignment horizontal="center"/>
    </xf>
    <xf numFmtId="0" fontId="6" fillId="6" borderId="41" xfId="0" applyFont="1" applyFill="1" applyBorder="1" applyAlignment="1">
      <alignment horizontal="center"/>
    </xf>
    <xf numFmtId="0" fontId="6" fillId="3" borderId="14" xfId="0" applyFont="1" applyFill="1" applyBorder="1"/>
    <xf numFmtId="0" fontId="6" fillId="7" borderId="8" xfId="0" applyFont="1" applyFill="1" applyBorder="1"/>
    <xf numFmtId="0" fontId="6" fillId="15" borderId="24" xfId="0" applyFont="1" applyFill="1" applyBorder="1" applyAlignment="1">
      <alignment horizontal="center"/>
    </xf>
    <xf numFmtId="0" fontId="6" fillId="7" borderId="11" xfId="0" applyFont="1" applyFill="1" applyBorder="1"/>
    <xf numFmtId="0" fontId="6" fillId="8" borderId="11" xfId="0" applyFont="1" applyFill="1" applyBorder="1"/>
    <xf numFmtId="0" fontId="31" fillId="2" borderId="0" xfId="0" applyFont="1" applyFill="1" applyBorder="1" applyAlignment="1">
      <alignment horizontal="center"/>
    </xf>
    <xf numFmtId="0" fontId="32" fillId="2" borderId="0" xfId="0" applyFont="1" applyFill="1" applyBorder="1" applyAlignment="1">
      <alignment horizontal="center"/>
    </xf>
    <xf numFmtId="0" fontId="33" fillId="2" borderId="0" xfId="0" applyFont="1" applyFill="1" applyBorder="1" applyAlignment="1">
      <alignment horizontal="center"/>
    </xf>
    <xf numFmtId="0" fontId="27" fillId="0" borderId="43" xfId="0" applyFont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72" xfId="0" applyFont="1" applyBorder="1" applyAlignment="1">
      <alignment horizontal="center"/>
    </xf>
    <xf numFmtId="0" fontId="26" fillId="6" borderId="25" xfId="0" applyFont="1" applyFill="1" applyBorder="1" applyAlignment="1">
      <alignment horizontal="center"/>
    </xf>
    <xf numFmtId="0" fontId="26" fillId="8" borderId="41" xfId="0" applyFont="1" applyFill="1" applyBorder="1" applyAlignment="1">
      <alignment horizontal="center"/>
    </xf>
    <xf numFmtId="0" fontId="6" fillId="6" borderId="8" xfId="0" applyFont="1" applyFill="1" applyBorder="1"/>
    <xf numFmtId="0" fontId="6" fillId="6" borderId="50" xfId="0" applyFont="1" applyFill="1" applyBorder="1" applyAlignment="1">
      <alignment horizontal="center"/>
    </xf>
    <xf numFmtId="0" fontId="6" fillId="9" borderId="21" xfId="0" applyFont="1" applyFill="1" applyBorder="1" applyAlignment="1">
      <alignment horizontal="center"/>
    </xf>
    <xf numFmtId="0" fontId="6" fillId="6" borderId="11" xfId="0" applyFont="1" applyFill="1" applyBorder="1"/>
    <xf numFmtId="0" fontId="6" fillId="6" borderId="30" xfId="0" applyFont="1" applyFill="1" applyBorder="1" applyAlignment="1">
      <alignment horizontal="center"/>
    </xf>
    <xf numFmtId="0" fontId="27" fillId="6" borderId="40" xfId="0" applyFont="1" applyFill="1" applyBorder="1"/>
    <xf numFmtId="0" fontId="6" fillId="6" borderId="2" xfId="0" applyFont="1" applyFill="1" applyBorder="1"/>
    <xf numFmtId="0" fontId="6" fillId="6" borderId="40" xfId="0" applyFont="1" applyFill="1" applyBorder="1"/>
    <xf numFmtId="0" fontId="6" fillId="6" borderId="17" xfId="0" applyFont="1" applyFill="1" applyBorder="1"/>
    <xf numFmtId="0" fontId="6" fillId="15" borderId="23" xfId="0" applyFont="1" applyFill="1" applyBorder="1"/>
    <xf numFmtId="0" fontId="6" fillId="13" borderId="23" xfId="0" applyFont="1" applyFill="1" applyBorder="1"/>
    <xf numFmtId="0" fontId="29" fillId="7" borderId="19" xfId="0" applyFont="1" applyFill="1" applyBorder="1" applyAlignment="1">
      <alignment horizontal="center"/>
    </xf>
    <xf numFmtId="0" fontId="27" fillId="10" borderId="19" xfId="0" applyFont="1" applyFill="1" applyBorder="1" applyAlignment="1">
      <alignment horizontal="center" vertical="center"/>
    </xf>
    <xf numFmtId="0" fontId="26" fillId="0" borderId="62" xfId="0" applyFont="1" applyBorder="1" applyAlignment="1">
      <alignment horizontal="center"/>
    </xf>
    <xf numFmtId="0" fontId="26" fillId="0" borderId="48" xfId="0" applyFont="1" applyBorder="1" applyAlignment="1">
      <alignment horizontal="center"/>
    </xf>
    <xf numFmtId="0" fontId="26" fillId="0" borderId="49" xfId="0" applyFont="1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26" fillId="0" borderId="41" xfId="0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6" fillId="7" borderId="41" xfId="0" applyFont="1" applyFill="1" applyBorder="1" applyAlignment="1">
      <alignment horizontal="center"/>
    </xf>
    <xf numFmtId="0" fontId="6" fillId="8" borderId="41" xfId="0" applyFont="1" applyFill="1" applyBorder="1" applyAlignment="1">
      <alignment horizontal="center"/>
    </xf>
    <xf numFmtId="0" fontId="29" fillId="7" borderId="41" xfId="0" applyFont="1" applyFill="1" applyBorder="1" applyAlignment="1">
      <alignment horizontal="center"/>
    </xf>
    <xf numFmtId="0" fontId="6" fillId="8" borderId="65" xfId="0" applyFont="1" applyFill="1" applyBorder="1"/>
    <xf numFmtId="0" fontId="27" fillId="0" borderId="63" xfId="0" applyFont="1" applyBorder="1" applyAlignment="1">
      <alignment horizontal="center"/>
    </xf>
    <xf numFmtId="0" fontId="26" fillId="0" borderId="15" xfId="0" applyFont="1" applyBorder="1" applyAlignment="1"/>
    <xf numFmtId="0" fontId="26" fillId="7" borderId="34" xfId="0" applyFont="1" applyFill="1" applyBorder="1" applyAlignment="1"/>
    <xf numFmtId="0" fontId="26" fillId="7" borderId="16" xfId="0" applyFont="1" applyFill="1" applyBorder="1" applyAlignment="1"/>
    <xf numFmtId="0" fontId="26" fillId="8" borderId="15" xfId="0" applyFont="1" applyFill="1" applyBorder="1" applyAlignment="1"/>
    <xf numFmtId="0" fontId="26" fillId="8" borderId="34" xfId="0" applyFont="1" applyFill="1" applyBorder="1" applyAlignment="1"/>
    <xf numFmtId="0" fontId="26" fillId="8" borderId="16" xfId="0" applyFont="1" applyFill="1" applyBorder="1" applyAlignment="1"/>
    <xf numFmtId="0" fontId="26" fillId="9" borderId="41" xfId="0" applyFont="1" applyFill="1" applyBorder="1" applyAlignment="1"/>
    <xf numFmtId="0" fontId="26" fillId="0" borderId="2" xfId="0" applyFont="1" applyBorder="1" applyAlignment="1"/>
    <xf numFmtId="0" fontId="26" fillId="7" borderId="20" xfId="0" applyFont="1" applyFill="1" applyBorder="1" applyAlignment="1"/>
    <xf numFmtId="0" fontId="26" fillId="7" borderId="18" xfId="0" applyFont="1" applyFill="1" applyBorder="1" applyAlignment="1"/>
    <xf numFmtId="0" fontId="26" fillId="8" borderId="17" xfId="0" applyFont="1" applyFill="1" applyBorder="1" applyAlignment="1"/>
    <xf numFmtId="0" fontId="26" fillId="8" borderId="20" xfId="0" applyFont="1" applyFill="1" applyBorder="1" applyAlignment="1"/>
    <xf numFmtId="0" fontId="26" fillId="8" borderId="18" xfId="0" applyFont="1" applyFill="1" applyBorder="1" applyAlignment="1"/>
    <xf numFmtId="0" fontId="26" fillId="9" borderId="14" xfId="0" applyFont="1" applyFill="1" applyBorder="1" applyAlignment="1"/>
    <xf numFmtId="0" fontId="26" fillId="0" borderId="17" xfId="0" applyFont="1" applyBorder="1" applyAlignment="1"/>
    <xf numFmtId="0" fontId="26" fillId="0" borderId="45" xfId="0" applyFont="1" applyBorder="1" applyAlignment="1">
      <alignment horizontal="center"/>
    </xf>
    <xf numFmtId="0" fontId="26" fillId="0" borderId="44" xfId="0" applyFont="1" applyBorder="1" applyAlignment="1">
      <alignment horizontal="center"/>
    </xf>
    <xf numFmtId="0" fontId="26" fillId="0" borderId="72" xfId="0" applyFont="1" applyBorder="1" applyAlignment="1">
      <alignment horizontal="center"/>
    </xf>
    <xf numFmtId="0" fontId="26" fillId="5" borderId="16" xfId="0" applyFont="1" applyFill="1" applyBorder="1" applyAlignment="1">
      <alignment horizontal="center"/>
    </xf>
    <xf numFmtId="0" fontId="26" fillId="5" borderId="41" xfId="0" applyFont="1" applyFill="1" applyBorder="1" applyAlignment="1">
      <alignment horizontal="center"/>
    </xf>
    <xf numFmtId="0" fontId="26" fillId="7" borderId="41" xfId="0" applyFont="1" applyFill="1" applyBorder="1" applyAlignment="1">
      <alignment horizontal="center"/>
    </xf>
    <xf numFmtId="0" fontId="26" fillId="12" borderId="41" xfId="0" applyFont="1" applyFill="1" applyBorder="1" applyAlignment="1">
      <alignment horizontal="center"/>
    </xf>
    <xf numFmtId="0" fontId="26" fillId="9" borderId="19" xfId="0" applyFont="1" applyFill="1" applyBorder="1" applyAlignment="1"/>
    <xf numFmtId="0" fontId="6" fillId="7" borderId="13" xfId="0" applyFont="1" applyFill="1" applyBorder="1"/>
    <xf numFmtId="0" fontId="6" fillId="8" borderId="23" xfId="0" applyFont="1" applyFill="1" applyBorder="1"/>
    <xf numFmtId="0" fontId="27" fillId="0" borderId="20" xfId="0" applyFont="1" applyBorder="1" applyAlignment="1">
      <alignment horizontal="center"/>
    </xf>
    <xf numFmtId="0" fontId="29" fillId="8" borderId="15" xfId="0" applyFont="1" applyFill="1" applyBorder="1" applyAlignment="1">
      <alignment horizontal="center"/>
    </xf>
    <xf numFmtId="0" fontId="6" fillId="9" borderId="61" xfId="0" applyFont="1" applyFill="1" applyBorder="1" applyAlignment="1">
      <alignment horizontal="center"/>
    </xf>
    <xf numFmtId="0" fontId="29" fillId="8" borderId="2" xfId="0" applyFont="1" applyFill="1" applyBorder="1" applyAlignment="1">
      <alignment horizontal="center"/>
    </xf>
    <xf numFmtId="0" fontId="27" fillId="3" borderId="13" xfId="0" applyFont="1" applyFill="1" applyBorder="1"/>
    <xf numFmtId="0" fontId="27" fillId="3" borderId="28" xfId="0" applyFont="1" applyFill="1" applyBorder="1"/>
    <xf numFmtId="0" fontId="27" fillId="3" borderId="40" xfId="0" applyFont="1" applyFill="1" applyBorder="1"/>
    <xf numFmtId="0" fontId="28" fillId="5" borderId="14" xfId="0" applyFont="1" applyFill="1" applyBorder="1" applyAlignment="1">
      <alignment horizontal="center"/>
    </xf>
    <xf numFmtId="0" fontId="6" fillId="7" borderId="15" xfId="0" applyFont="1" applyFill="1" applyBorder="1"/>
    <xf numFmtId="0" fontId="28" fillId="15" borderId="23" xfId="0" applyFont="1" applyFill="1" applyBorder="1" applyAlignment="1">
      <alignment horizontal="center"/>
    </xf>
    <xf numFmtId="0" fontId="28" fillId="15" borderId="26" xfId="0" applyFont="1" applyFill="1" applyBorder="1" applyAlignment="1">
      <alignment horizontal="center"/>
    </xf>
    <xf numFmtId="0" fontId="28" fillId="15" borderId="25" xfId="0" applyFont="1" applyFill="1" applyBorder="1" applyAlignment="1">
      <alignment horizontal="center"/>
    </xf>
    <xf numFmtId="0" fontId="6" fillId="7" borderId="29" xfId="0" applyFont="1" applyFill="1" applyBorder="1" applyAlignment="1">
      <alignment horizontal="center"/>
    </xf>
    <xf numFmtId="0" fontId="6" fillId="7" borderId="14" xfId="0" applyFont="1" applyFill="1" applyBorder="1" applyAlignment="1">
      <alignment horizontal="center"/>
    </xf>
    <xf numFmtId="0" fontId="29" fillId="8" borderId="17" xfId="0" applyFont="1" applyFill="1" applyBorder="1" applyAlignment="1">
      <alignment horizontal="center"/>
    </xf>
    <xf numFmtId="0" fontId="27" fillId="8" borderId="2" xfId="0" applyFont="1" applyFill="1" applyBorder="1" applyAlignment="1">
      <alignment horizontal="center"/>
    </xf>
    <xf numFmtId="0" fontId="28" fillId="5" borderId="19" xfId="0" applyFont="1" applyFill="1" applyBorder="1" applyAlignment="1">
      <alignment horizontal="center"/>
    </xf>
    <xf numFmtId="0" fontId="6" fillId="10" borderId="61" xfId="0" applyFont="1" applyFill="1" applyBorder="1" applyAlignment="1">
      <alignment horizontal="center"/>
    </xf>
    <xf numFmtId="0" fontId="6" fillId="10" borderId="0" xfId="0" applyFont="1" applyFill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6" borderId="30" xfId="0" applyFont="1" applyFill="1" applyBorder="1"/>
    <xf numFmtId="0" fontId="27" fillId="7" borderId="8" xfId="0" applyFont="1" applyFill="1" applyBorder="1" applyAlignment="1">
      <alignment vertical="center"/>
    </xf>
    <xf numFmtId="0" fontId="6" fillId="7" borderId="55" xfId="0" applyFont="1" applyFill="1" applyBorder="1" applyAlignment="1">
      <alignment horizontal="center"/>
    </xf>
    <xf numFmtId="0" fontId="6" fillId="15" borderId="8" xfId="0" applyFont="1" applyFill="1" applyBorder="1" applyAlignment="1">
      <alignment horizontal="center"/>
    </xf>
    <xf numFmtId="0" fontId="6" fillId="7" borderId="31" xfId="0" applyFont="1" applyFill="1" applyBorder="1" applyAlignment="1">
      <alignment horizontal="center"/>
    </xf>
    <xf numFmtId="0" fontId="6" fillId="7" borderId="33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7" borderId="13" xfId="0" applyFont="1" applyFill="1" applyBorder="1" applyAlignment="1">
      <alignment vertical="center"/>
    </xf>
    <xf numFmtId="0" fontId="6" fillId="7" borderId="66" xfId="0" applyFont="1" applyFill="1" applyBorder="1" applyAlignment="1">
      <alignment horizontal="center"/>
    </xf>
    <xf numFmtId="0" fontId="6" fillId="7" borderId="63" xfId="0" applyFont="1" applyFill="1" applyBorder="1" applyAlignment="1">
      <alignment horizontal="center"/>
    </xf>
    <xf numFmtId="0" fontId="6" fillId="7" borderId="18" xfId="0" applyFont="1" applyFill="1" applyBorder="1" applyAlignment="1">
      <alignment horizontal="center"/>
    </xf>
    <xf numFmtId="0" fontId="6" fillId="13" borderId="23" xfId="0" applyFont="1" applyFill="1" applyBorder="1" applyAlignment="1">
      <alignment vertical="center"/>
    </xf>
    <xf numFmtId="0" fontId="6" fillId="15" borderId="41" xfId="0" applyFont="1" applyFill="1" applyBorder="1" applyAlignment="1">
      <alignment horizontal="center"/>
    </xf>
    <xf numFmtId="0" fontId="27" fillId="13" borderId="50" xfId="0" applyFont="1" applyFill="1" applyBorder="1" applyAlignment="1">
      <alignment horizontal="center"/>
    </xf>
    <xf numFmtId="0" fontId="27" fillId="13" borderId="51" xfId="0" applyFont="1" applyFill="1" applyBorder="1" applyAlignment="1">
      <alignment horizontal="center"/>
    </xf>
    <xf numFmtId="0" fontId="27" fillId="13" borderId="56" xfId="0" applyFont="1" applyFill="1" applyBorder="1" applyAlignment="1">
      <alignment horizontal="center"/>
    </xf>
    <xf numFmtId="0" fontId="27" fillId="8" borderId="14" xfId="0" applyFont="1" applyFill="1" applyBorder="1" applyAlignment="1">
      <alignment horizontal="center"/>
    </xf>
    <xf numFmtId="0" fontId="6" fillId="8" borderId="19" xfId="0" applyFont="1" applyFill="1" applyBorder="1" applyAlignment="1">
      <alignment vertical="center"/>
    </xf>
    <xf numFmtId="0" fontId="29" fillId="15" borderId="14" xfId="0" applyFont="1" applyFill="1" applyBorder="1" applyAlignment="1">
      <alignment horizontal="center"/>
    </xf>
    <xf numFmtId="0" fontId="6" fillId="8" borderId="58" xfId="0" applyFont="1" applyFill="1" applyBorder="1" applyAlignment="1">
      <alignment horizontal="center"/>
    </xf>
    <xf numFmtId="0" fontId="6" fillId="8" borderId="63" xfId="0" applyFont="1" applyFill="1" applyBorder="1" applyAlignment="1">
      <alignment horizontal="center"/>
    </xf>
    <xf numFmtId="0" fontId="6" fillId="8" borderId="18" xfId="0" applyFont="1" applyFill="1" applyBorder="1" applyAlignment="1">
      <alignment horizontal="center"/>
    </xf>
    <xf numFmtId="0" fontId="27" fillId="0" borderId="23" xfId="0" applyFont="1" applyBorder="1" applyAlignment="1">
      <alignment horizontal="center" vertical="center"/>
    </xf>
    <xf numFmtId="0" fontId="27" fillId="15" borderId="25" xfId="0" applyFont="1" applyFill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10" borderId="24" xfId="0" applyFont="1" applyFill="1" applyBorder="1" applyAlignment="1">
      <alignment horizontal="center" vertical="center"/>
    </xf>
    <xf numFmtId="0" fontId="27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26" fillId="0" borderId="41" xfId="0" applyFont="1" applyBorder="1" applyAlignment="1"/>
    <xf numFmtId="0" fontId="6" fillId="6" borderId="15" xfId="0" applyFont="1" applyFill="1" applyBorder="1" applyAlignment="1"/>
    <xf numFmtId="0" fontId="6" fillId="6" borderId="34" xfId="0" applyFont="1" applyFill="1" applyBorder="1" applyAlignment="1"/>
    <xf numFmtId="0" fontId="6" fillId="6" borderId="16" xfId="0" applyFont="1" applyFill="1" applyBorder="1" applyAlignment="1"/>
    <xf numFmtId="0" fontId="6" fillId="7" borderId="15" xfId="0" applyFont="1" applyFill="1" applyBorder="1" applyAlignment="1"/>
    <xf numFmtId="0" fontId="6" fillId="7" borderId="34" xfId="0" applyFont="1" applyFill="1" applyBorder="1" applyAlignment="1"/>
    <xf numFmtId="0" fontId="6" fillId="7" borderId="16" xfId="0" applyFont="1" applyFill="1" applyBorder="1" applyAlignment="1"/>
    <xf numFmtId="0" fontId="6" fillId="8" borderId="15" xfId="0" applyFont="1" applyFill="1" applyBorder="1" applyAlignment="1"/>
    <xf numFmtId="0" fontId="6" fillId="8" borderId="34" xfId="0" applyFont="1" applyFill="1" applyBorder="1" applyAlignment="1"/>
    <xf numFmtId="0" fontId="6" fillId="8" borderId="16" xfId="0" applyFont="1" applyFill="1" applyBorder="1" applyAlignment="1"/>
    <xf numFmtId="0" fontId="6" fillId="9" borderId="41" xfId="0" applyFont="1" applyFill="1" applyBorder="1" applyAlignment="1"/>
    <xf numFmtId="0" fontId="26" fillId="0" borderId="14" xfId="0" applyFont="1" applyBorder="1" applyAlignment="1"/>
    <xf numFmtId="0" fontId="6" fillId="6" borderId="18" xfId="0" applyFont="1" applyFill="1" applyBorder="1" applyAlignment="1"/>
    <xf numFmtId="0" fontId="6" fillId="7" borderId="17" xfId="0" applyFont="1" applyFill="1" applyBorder="1" applyAlignment="1"/>
    <xf numFmtId="0" fontId="6" fillId="7" borderId="20" xfId="0" applyFont="1" applyFill="1" applyBorder="1" applyAlignment="1"/>
    <xf numFmtId="0" fontId="6" fillId="7" borderId="18" xfId="0" applyFont="1" applyFill="1" applyBorder="1" applyAlignment="1"/>
    <xf numFmtId="0" fontId="6" fillId="8" borderId="17" xfId="0" applyFont="1" applyFill="1" applyBorder="1" applyAlignment="1"/>
    <xf numFmtId="0" fontId="6" fillId="8" borderId="20" xfId="0" applyFont="1" applyFill="1" applyBorder="1" applyAlignment="1"/>
    <xf numFmtId="0" fontId="6" fillId="8" borderId="18" xfId="0" applyFont="1" applyFill="1" applyBorder="1" applyAlignment="1"/>
    <xf numFmtId="0" fontId="6" fillId="9" borderId="14" xfId="0" applyFont="1" applyFill="1" applyBorder="1" applyAlignment="1"/>
    <xf numFmtId="0" fontId="6" fillId="0" borderId="61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6" fillId="7" borderId="61" xfId="0" applyFont="1" applyFill="1" applyBorder="1" applyAlignment="1">
      <alignment horizontal="center"/>
    </xf>
    <xf numFmtId="0" fontId="6" fillId="0" borderId="55" xfId="0" applyFont="1" applyBorder="1" applyAlignment="1">
      <alignment horizontal="center"/>
    </xf>
    <xf numFmtId="0" fontId="6" fillId="9" borderId="19" xfId="0" applyFont="1" applyFill="1" applyBorder="1" applyAlignment="1"/>
    <xf numFmtId="0" fontId="30" fillId="7" borderId="14" xfId="0" applyFont="1" applyFill="1" applyBorder="1" applyAlignment="1">
      <alignment horizontal="center"/>
    </xf>
    <xf numFmtId="0" fontId="34" fillId="8" borderId="41" xfId="0" applyFont="1" applyFill="1" applyBorder="1" applyAlignment="1">
      <alignment horizontal="center"/>
    </xf>
    <xf numFmtId="0" fontId="34" fillId="8" borderId="14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6" fillId="11" borderId="19" xfId="0" applyFont="1" applyFill="1" applyBorder="1" applyAlignment="1">
      <alignment horizontal="left"/>
    </xf>
    <xf numFmtId="0" fontId="27" fillId="11" borderId="23" xfId="0" applyFont="1" applyFill="1" applyBorder="1" applyAlignment="1">
      <alignment horizontal="center"/>
    </xf>
    <xf numFmtId="0" fontId="27" fillId="11" borderId="47" xfId="0" applyFont="1" applyFill="1" applyBorder="1" applyAlignment="1">
      <alignment horizontal="center"/>
    </xf>
    <xf numFmtId="0" fontId="27" fillId="11" borderId="48" xfId="0" applyFont="1" applyFill="1" applyBorder="1" applyAlignment="1">
      <alignment horizontal="center"/>
    </xf>
    <xf numFmtId="0" fontId="27" fillId="11" borderId="53" xfId="0" applyFont="1" applyFill="1" applyBorder="1" applyAlignment="1">
      <alignment horizontal="center"/>
    </xf>
    <xf numFmtId="0" fontId="27" fillId="11" borderId="25" xfId="0" applyFont="1" applyFill="1" applyBorder="1" applyAlignment="1">
      <alignment horizontal="center"/>
    </xf>
    <xf numFmtId="0" fontId="27" fillId="11" borderId="9" xfId="0" applyFont="1" applyFill="1" applyBorder="1" applyAlignment="1">
      <alignment horizontal="left"/>
    </xf>
    <xf numFmtId="0" fontId="27" fillId="11" borderId="8" xfId="0" applyFont="1" applyFill="1" applyBorder="1" applyAlignment="1">
      <alignment horizontal="center"/>
    </xf>
    <xf numFmtId="0" fontId="27" fillId="11" borderId="42" xfId="0" applyFont="1" applyFill="1" applyBorder="1" applyAlignment="1">
      <alignment horizontal="center"/>
    </xf>
    <xf numFmtId="0" fontId="27" fillId="11" borderId="33" xfId="0" applyFont="1" applyFill="1" applyBorder="1" applyAlignment="1">
      <alignment horizontal="center"/>
    </xf>
    <xf numFmtId="0" fontId="6" fillId="11" borderId="14" xfId="0" applyFont="1" applyFill="1" applyBorder="1" applyAlignment="1">
      <alignment horizontal="center"/>
    </xf>
    <xf numFmtId="0" fontId="6" fillId="11" borderId="21" xfId="0" applyFont="1" applyFill="1" applyBorder="1" applyAlignment="1">
      <alignment horizontal="left"/>
    </xf>
    <xf numFmtId="0" fontId="6" fillId="11" borderId="25" xfId="0" applyFont="1" applyFill="1" applyBorder="1" applyAlignment="1">
      <alignment horizontal="center"/>
    </xf>
    <xf numFmtId="0" fontId="34" fillId="8" borderId="19" xfId="0" applyFont="1" applyFill="1" applyBorder="1" applyAlignment="1">
      <alignment horizontal="center"/>
    </xf>
    <xf numFmtId="0" fontId="27" fillId="8" borderId="68" xfId="0" applyFont="1" applyFill="1" applyBorder="1"/>
    <xf numFmtId="0" fontId="29" fillId="2" borderId="0" xfId="0" applyFont="1" applyFill="1" applyBorder="1" applyAlignment="1">
      <alignment horizontal="center"/>
    </xf>
    <xf numFmtId="0" fontId="27" fillId="0" borderId="47" xfId="0" applyFont="1" applyBorder="1" applyAlignment="1">
      <alignment horizontal="center"/>
    </xf>
    <xf numFmtId="0" fontId="6" fillId="12" borderId="15" xfId="0" applyFont="1" applyFill="1" applyBorder="1" applyAlignment="1">
      <alignment horizontal="center"/>
    </xf>
    <xf numFmtId="0" fontId="34" fillId="8" borderId="15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34" fillId="8" borderId="2" xfId="0" applyFont="1" applyFill="1" applyBorder="1" applyAlignment="1">
      <alignment horizontal="center"/>
    </xf>
    <xf numFmtId="0" fontId="6" fillId="6" borderId="45" xfId="0" applyFont="1" applyFill="1" applyBorder="1" applyAlignment="1">
      <alignment horizontal="center"/>
    </xf>
    <xf numFmtId="0" fontId="6" fillId="6" borderId="47" xfId="0" applyFont="1" applyFill="1" applyBorder="1" applyAlignment="1">
      <alignment horizontal="center"/>
    </xf>
    <xf numFmtId="0" fontId="6" fillId="6" borderId="23" xfId="0" applyFont="1" applyFill="1" applyBorder="1" applyAlignment="1">
      <alignment horizontal="center"/>
    </xf>
    <xf numFmtId="0" fontId="6" fillId="7" borderId="25" xfId="0" applyFont="1" applyFill="1" applyBorder="1"/>
    <xf numFmtId="0" fontId="30" fillId="2" borderId="0" xfId="0" applyFont="1" applyFill="1" applyBorder="1" applyAlignment="1">
      <alignment horizontal="center"/>
    </xf>
    <xf numFmtId="0" fontId="30" fillId="3" borderId="14" xfId="0" applyFont="1" applyFill="1" applyBorder="1" applyAlignment="1">
      <alignment horizontal="center"/>
    </xf>
    <xf numFmtId="0" fontId="27" fillId="7" borderId="62" xfId="0" applyFont="1" applyFill="1" applyBorder="1" applyAlignment="1">
      <alignment horizontal="center"/>
    </xf>
    <xf numFmtId="0" fontId="27" fillId="7" borderId="48" xfId="0" applyFont="1" applyFill="1" applyBorder="1" applyAlignment="1">
      <alignment horizontal="center"/>
    </xf>
    <xf numFmtId="0" fontId="27" fillId="7" borderId="49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/>
    </xf>
    <xf numFmtId="0" fontId="36" fillId="9" borderId="14" xfId="0" applyFont="1" applyFill="1" applyBorder="1" applyAlignment="1">
      <alignment horizontal="center"/>
    </xf>
    <xf numFmtId="0" fontId="30" fillId="7" borderId="14" xfId="0" applyFont="1" applyFill="1" applyBorder="1"/>
    <xf numFmtId="0" fontId="35" fillId="6" borderId="19" xfId="0" applyFont="1" applyFill="1" applyBorder="1" applyAlignment="1">
      <alignment horizontal="center"/>
    </xf>
    <xf numFmtId="0" fontId="34" fillId="8" borderId="17" xfId="0" applyFont="1" applyFill="1" applyBorder="1" applyAlignment="1">
      <alignment horizontal="center"/>
    </xf>
    <xf numFmtId="0" fontId="36" fillId="9" borderId="19" xfId="0" applyFont="1" applyFill="1" applyBorder="1" applyAlignment="1">
      <alignment horizontal="center"/>
    </xf>
    <xf numFmtId="0" fontId="27" fillId="0" borderId="19" xfId="0" applyFont="1" applyBorder="1" applyAlignment="1">
      <alignment horizontal="center"/>
    </xf>
    <xf numFmtId="0" fontId="27" fillId="10" borderId="19" xfId="0" applyFont="1" applyFill="1" applyBorder="1" applyAlignment="1">
      <alignment horizontal="center"/>
    </xf>
    <xf numFmtId="0" fontId="27" fillId="7" borderId="9" xfId="0" applyFont="1" applyFill="1" applyBorder="1" applyAlignment="1">
      <alignment vertical="center"/>
    </xf>
    <xf numFmtId="0" fontId="27" fillId="7" borderId="21" xfId="0" applyFont="1" applyFill="1" applyBorder="1" applyAlignment="1">
      <alignment vertical="center"/>
    </xf>
    <xf numFmtId="0" fontId="6" fillId="8" borderId="21" xfId="0" applyFont="1" applyFill="1" applyBorder="1" applyAlignment="1">
      <alignment vertical="center"/>
    </xf>
    <xf numFmtId="16" fontId="6" fillId="8" borderId="22" xfId="0" applyNumberFormat="1" applyFont="1" applyFill="1" applyBorder="1" applyAlignment="1">
      <alignment horizontal="left" vertical="center"/>
    </xf>
    <xf numFmtId="0" fontId="3" fillId="16" borderId="61" xfId="0" applyFont="1" applyFill="1" applyBorder="1" applyAlignment="1">
      <alignment vertical="center"/>
    </xf>
    <xf numFmtId="0" fontId="6" fillId="6" borderId="2" xfId="0" applyFont="1" applyFill="1" applyBorder="1" applyAlignment="1">
      <alignment horizontal="left"/>
    </xf>
    <xf numFmtId="0" fontId="6" fillId="6" borderId="40" xfId="0" applyFont="1" applyFill="1" applyBorder="1" applyAlignment="1">
      <alignment horizontal="left"/>
    </xf>
    <xf numFmtId="0" fontId="6" fillId="6" borderId="54" xfId="0" applyFont="1" applyFill="1" applyBorder="1" applyAlignment="1">
      <alignment horizontal="left"/>
    </xf>
    <xf numFmtId="0" fontId="6" fillId="6" borderId="11" xfId="0" applyFont="1" applyFill="1" applyBorder="1" applyAlignment="1">
      <alignment horizontal="left"/>
    </xf>
    <xf numFmtId="0" fontId="6" fillId="6" borderId="13" xfId="0" applyFont="1" applyFill="1" applyBorder="1" applyAlignment="1">
      <alignment horizontal="left"/>
    </xf>
    <xf numFmtId="0" fontId="6" fillId="12" borderId="24" xfId="0" applyFont="1" applyFill="1" applyBorder="1" applyAlignment="1">
      <alignment horizontal="center"/>
    </xf>
    <xf numFmtId="0" fontId="6" fillId="6" borderId="2" xfId="0" applyFont="1" applyFill="1" applyBorder="1" applyAlignment="1"/>
    <xf numFmtId="0" fontId="6" fillId="6" borderId="0" xfId="0" applyFont="1" applyFill="1" applyBorder="1" applyAlignment="1"/>
    <xf numFmtId="0" fontId="6" fillId="0" borderId="30" xfId="0" applyFont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61" xfId="0" applyFont="1" applyFill="1" applyBorder="1" applyAlignment="1">
      <alignment horizontal="center"/>
    </xf>
    <xf numFmtId="0" fontId="3" fillId="6" borderId="25" xfId="0" applyFont="1" applyFill="1" applyBorder="1" applyAlignment="1">
      <alignment horizontal="center"/>
    </xf>
    <xf numFmtId="0" fontId="3" fillId="6" borderId="29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3" fillId="6" borderId="41" xfId="0" applyFont="1" applyFill="1" applyBorder="1" applyAlignment="1">
      <alignment horizontal="center"/>
    </xf>
    <xf numFmtId="0" fontId="3" fillId="6" borderId="39" xfId="0" applyFont="1" applyFill="1" applyBorder="1" applyAlignment="1">
      <alignment horizontal="center"/>
    </xf>
    <xf numFmtId="0" fontId="3" fillId="6" borderId="28" xfId="0" applyFont="1" applyFill="1" applyBorder="1" applyAlignment="1">
      <alignment horizontal="center"/>
    </xf>
    <xf numFmtId="0" fontId="3" fillId="6" borderId="68" xfId="0" applyFont="1" applyFill="1" applyBorder="1" applyAlignment="1">
      <alignment horizontal="center"/>
    </xf>
    <xf numFmtId="0" fontId="3" fillId="6" borderId="19" xfId="0" applyFont="1" applyFill="1" applyBorder="1" applyAlignment="1">
      <alignment horizontal="center"/>
    </xf>
    <xf numFmtId="0" fontId="39" fillId="0" borderId="62" xfId="0" applyFont="1" applyBorder="1" applyAlignment="1">
      <alignment horizontal="center" vertical="center"/>
    </xf>
    <xf numFmtId="0" fontId="39" fillId="0" borderId="47" xfId="0" applyFont="1" applyBorder="1" applyAlignment="1">
      <alignment horizontal="center" vertical="center"/>
    </xf>
    <xf numFmtId="0" fontId="39" fillId="0" borderId="23" xfId="0" applyFont="1" applyBorder="1" applyAlignment="1">
      <alignment horizontal="center" vertical="center"/>
    </xf>
    <xf numFmtId="0" fontId="3" fillId="6" borderId="46" xfId="0" applyFont="1" applyFill="1" applyBorder="1" applyAlignment="1">
      <alignment horizontal="center" vertical="center"/>
    </xf>
    <xf numFmtId="0" fontId="3" fillId="6" borderId="50" xfId="0" applyFont="1" applyFill="1" applyBorder="1" applyAlignment="1">
      <alignment horizontal="center"/>
    </xf>
    <xf numFmtId="0" fontId="3" fillId="6" borderId="51" xfId="0" applyFont="1" applyFill="1" applyBorder="1" applyAlignment="1">
      <alignment horizontal="center"/>
    </xf>
    <xf numFmtId="0" fontId="3" fillId="6" borderId="81" xfId="0" applyFont="1" applyFill="1" applyBorder="1" applyAlignment="1">
      <alignment horizontal="center"/>
    </xf>
    <xf numFmtId="0" fontId="3" fillId="6" borderId="57" xfId="0" applyFont="1" applyFill="1" applyBorder="1" applyAlignment="1">
      <alignment horizontal="center"/>
    </xf>
    <xf numFmtId="0" fontId="3" fillId="6" borderId="30" xfId="0" applyFont="1" applyFill="1" applyBorder="1" applyAlignment="1">
      <alignment horizontal="center"/>
    </xf>
    <xf numFmtId="0" fontId="3" fillId="6" borderId="40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39" xfId="0" applyFont="1" applyFill="1" applyBorder="1" applyAlignment="1">
      <alignment horizontal="center"/>
    </xf>
    <xf numFmtId="0" fontId="3" fillId="3" borderId="28" xfId="0" applyFont="1" applyFill="1" applyBorder="1" applyAlignment="1">
      <alignment horizontal="center"/>
    </xf>
    <xf numFmtId="0" fontId="3" fillId="3" borderId="74" xfId="0" applyFont="1" applyFill="1" applyBorder="1" applyAlignment="1">
      <alignment horizontal="center"/>
    </xf>
    <xf numFmtId="0" fontId="3" fillId="3" borderId="70" xfId="0" applyFont="1" applyFill="1" applyBorder="1" applyAlignment="1">
      <alignment horizontal="center"/>
    </xf>
    <xf numFmtId="0" fontId="3" fillId="6" borderId="21" xfId="0" applyFont="1" applyFill="1" applyBorder="1" applyAlignment="1">
      <alignment horizontal="center"/>
    </xf>
    <xf numFmtId="0" fontId="40" fillId="2" borderId="34" xfId="0" applyFont="1" applyFill="1" applyBorder="1" applyAlignment="1"/>
    <xf numFmtId="0" fontId="40" fillId="15" borderId="41" xfId="0" applyFont="1" applyFill="1" applyBorder="1" applyAlignment="1"/>
    <xf numFmtId="0" fontId="40" fillId="5" borderId="34" xfId="0" applyFont="1" applyFill="1" applyBorder="1" applyAlignment="1">
      <alignment horizontal="center"/>
    </xf>
    <xf numFmtId="0" fontId="38" fillId="13" borderId="41" xfId="0" applyFont="1" applyFill="1" applyBorder="1" applyAlignment="1">
      <alignment horizontal="center"/>
    </xf>
    <xf numFmtId="0" fontId="40" fillId="2" borderId="0" xfId="0" applyFont="1" applyFill="1" applyBorder="1" applyAlignment="1"/>
    <xf numFmtId="0" fontId="40" fillId="15" borderId="14" xfId="0" applyFont="1" applyFill="1" applyBorder="1" applyAlignment="1"/>
    <xf numFmtId="0" fontId="40" fillId="5" borderId="0" xfId="0" applyFont="1" applyFill="1" applyBorder="1" applyAlignment="1">
      <alignment horizontal="center"/>
    </xf>
    <xf numFmtId="0" fontId="38" fillId="13" borderId="1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22" xfId="0" applyFont="1" applyFill="1" applyBorder="1" applyAlignment="1">
      <alignment horizontal="center"/>
    </xf>
    <xf numFmtId="0" fontId="40" fillId="15" borderId="19" xfId="0" applyFont="1" applyFill="1" applyBorder="1" applyAlignment="1"/>
    <xf numFmtId="0" fontId="40" fillId="15" borderId="15" xfId="0" applyFont="1" applyFill="1" applyBorder="1" applyAlignment="1">
      <alignment horizontal="center"/>
    </xf>
    <xf numFmtId="0" fontId="40" fillId="15" borderId="34" xfId="0" applyFont="1" applyFill="1" applyBorder="1" applyAlignment="1">
      <alignment horizontal="center"/>
    </xf>
    <xf numFmtId="0" fontId="41" fillId="15" borderId="16" xfId="0" applyFont="1" applyFill="1" applyBorder="1" applyAlignment="1">
      <alignment horizontal="center"/>
    </xf>
    <xf numFmtId="0" fontId="3" fillId="7" borderId="24" xfId="0" applyFont="1" applyFill="1" applyBorder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40" fillId="15" borderId="2" xfId="0" applyFont="1" applyFill="1" applyBorder="1" applyAlignment="1">
      <alignment horizontal="center"/>
    </xf>
    <xf numFmtId="0" fontId="40" fillId="15" borderId="0" xfId="0" applyFont="1" applyFill="1" applyBorder="1" applyAlignment="1">
      <alignment horizontal="center"/>
    </xf>
    <xf numFmtId="0" fontId="41" fillId="15" borderId="1" xfId="0" applyFont="1" applyFill="1" applyBorder="1" applyAlignment="1">
      <alignment horizontal="center"/>
    </xf>
    <xf numFmtId="0" fontId="40" fillId="15" borderId="17" xfId="0" applyFont="1" applyFill="1" applyBorder="1" applyAlignment="1">
      <alignment horizontal="center"/>
    </xf>
    <xf numFmtId="0" fontId="40" fillId="15" borderId="20" xfId="0" applyFont="1" applyFill="1" applyBorder="1" applyAlignment="1">
      <alignment horizontal="center"/>
    </xf>
    <xf numFmtId="0" fontId="41" fillId="15" borderId="18" xfId="0" applyFont="1" applyFill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3" fillId="7" borderId="41" xfId="0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/>
    </xf>
    <xf numFmtId="0" fontId="38" fillId="13" borderId="19" xfId="0" applyFont="1" applyFill="1" applyBorder="1" applyAlignment="1">
      <alignment horizontal="center"/>
    </xf>
    <xf numFmtId="0" fontId="38" fillId="13" borderId="17" xfId="0" applyFont="1" applyFill="1" applyBorder="1" applyAlignment="1">
      <alignment horizontal="center"/>
    </xf>
    <xf numFmtId="0" fontId="38" fillId="13" borderId="20" xfId="0" applyFont="1" applyFill="1" applyBorder="1" applyAlignment="1">
      <alignment horizontal="center"/>
    </xf>
    <xf numFmtId="0" fontId="41" fillId="13" borderId="20" xfId="0" applyFont="1" applyFill="1" applyBorder="1" applyAlignment="1">
      <alignment horizontal="center"/>
    </xf>
    <xf numFmtId="0" fontId="38" fillId="13" borderId="26" xfId="0" applyFont="1" applyFill="1" applyBorder="1" applyAlignment="1">
      <alignment horizontal="center"/>
    </xf>
    <xf numFmtId="0" fontId="38" fillId="13" borderId="24" xfId="0" applyFont="1" applyFill="1" applyBorder="1" applyAlignment="1">
      <alignment horizontal="center"/>
    </xf>
    <xf numFmtId="0" fontId="3" fillId="13" borderId="62" xfId="0" applyFont="1" applyFill="1" applyBorder="1" applyAlignment="1">
      <alignment horizontal="center"/>
    </xf>
    <xf numFmtId="0" fontId="39" fillId="13" borderId="19" xfId="0" applyFont="1" applyFill="1" applyBorder="1" applyAlignment="1">
      <alignment horizontal="center"/>
    </xf>
    <xf numFmtId="0" fontId="39" fillId="0" borderId="63" xfId="0" applyFont="1" applyBorder="1" applyAlignment="1">
      <alignment horizontal="center"/>
    </xf>
    <xf numFmtId="0" fontId="39" fillId="0" borderId="20" xfId="0" applyFont="1" applyBorder="1" applyAlignment="1">
      <alignment horizontal="center"/>
    </xf>
    <xf numFmtId="0" fontId="3" fillId="6" borderId="69" xfId="0" applyFont="1" applyFill="1" applyBorder="1" applyAlignment="1">
      <alignment horizontal="center"/>
    </xf>
    <xf numFmtId="0" fontId="3" fillId="6" borderId="55" xfId="0" applyFont="1" applyFill="1" applyBorder="1" applyAlignment="1">
      <alignment horizontal="center"/>
    </xf>
    <xf numFmtId="0" fontId="3" fillId="6" borderId="54" xfId="0" applyFont="1" applyFill="1" applyBorder="1" applyAlignment="1">
      <alignment horizontal="center"/>
    </xf>
    <xf numFmtId="0" fontId="40" fillId="5" borderId="15" xfId="0" applyFont="1" applyFill="1" applyBorder="1" applyAlignment="1">
      <alignment horizontal="center"/>
    </xf>
    <xf numFmtId="0" fontId="38" fillId="7" borderId="41" xfId="0" applyFont="1" applyFill="1" applyBorder="1" applyAlignment="1">
      <alignment horizontal="center"/>
    </xf>
    <xf numFmtId="0" fontId="38" fillId="8" borderId="4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6" borderId="4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40" fillId="5" borderId="2" xfId="0" applyFont="1" applyFill="1" applyBorder="1" applyAlignment="1">
      <alignment horizontal="center"/>
    </xf>
    <xf numFmtId="0" fontId="38" fillId="7" borderId="14" xfId="0" applyFont="1" applyFill="1" applyBorder="1" applyAlignment="1">
      <alignment horizontal="center"/>
    </xf>
    <xf numFmtId="0" fontId="38" fillId="8" borderId="14" xfId="0" applyFont="1" applyFill="1" applyBorder="1" applyAlignment="1">
      <alignment horizontal="center"/>
    </xf>
    <xf numFmtId="0" fontId="3" fillId="6" borderId="38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73" xfId="0" applyFont="1" applyFill="1" applyBorder="1" applyAlignment="1">
      <alignment horizontal="center"/>
    </xf>
    <xf numFmtId="0" fontId="3" fillId="6" borderId="74" xfId="0" applyFont="1" applyFill="1" applyBorder="1" applyAlignment="1">
      <alignment horizontal="center"/>
    </xf>
    <xf numFmtId="0" fontId="3" fillId="6" borderId="70" xfId="0" applyFont="1" applyFill="1" applyBorder="1" applyAlignment="1">
      <alignment horizontal="center"/>
    </xf>
    <xf numFmtId="0" fontId="3" fillId="6" borderId="63" xfId="0" applyFont="1" applyFill="1" applyBorder="1" applyAlignment="1">
      <alignment horizontal="center"/>
    </xf>
    <xf numFmtId="0" fontId="3" fillId="6" borderId="75" xfId="0" applyFont="1" applyFill="1" applyBorder="1" applyAlignment="1">
      <alignment horizontal="center"/>
    </xf>
    <xf numFmtId="0" fontId="40" fillId="5" borderId="0" xfId="0" applyFont="1" applyFill="1" applyBorder="1" applyAlignment="1"/>
    <xf numFmtId="0" fontId="38" fillId="6" borderId="15" xfId="0" applyFont="1" applyFill="1" applyBorder="1" applyAlignment="1"/>
    <xf numFmtId="0" fontId="3" fillId="7" borderId="50" xfId="0" applyFont="1" applyFill="1" applyBorder="1" applyAlignment="1">
      <alignment horizontal="center"/>
    </xf>
    <xf numFmtId="0" fontId="3" fillId="7" borderId="51" xfId="0" applyFont="1" applyFill="1" applyBorder="1" applyAlignment="1">
      <alignment horizontal="center"/>
    </xf>
    <xf numFmtId="0" fontId="3" fillId="7" borderId="56" xfId="0" applyFont="1" applyFill="1" applyBorder="1" applyAlignment="1">
      <alignment horizontal="center"/>
    </xf>
    <xf numFmtId="0" fontId="38" fillId="6" borderId="2" xfId="0" applyFont="1" applyFill="1" applyBorder="1" applyAlignment="1"/>
    <xf numFmtId="0" fontId="3" fillId="7" borderId="57" xfId="0" applyFont="1" applyFill="1" applyBorder="1" applyAlignment="1">
      <alignment horizontal="center"/>
    </xf>
    <xf numFmtId="0" fontId="3" fillId="7" borderId="30" xfId="0" applyFont="1" applyFill="1" applyBorder="1" applyAlignment="1">
      <alignment horizontal="center"/>
    </xf>
    <xf numFmtId="0" fontId="3" fillId="7" borderId="7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39" xfId="0" applyFont="1" applyFill="1" applyBorder="1" applyAlignment="1">
      <alignment horizontal="center"/>
    </xf>
    <xf numFmtId="0" fontId="3" fillId="7" borderId="52" xfId="0" applyFont="1" applyFill="1" applyBorder="1" applyAlignment="1">
      <alignment horizontal="center"/>
    </xf>
    <xf numFmtId="0" fontId="40" fillId="2" borderId="0" xfId="0" applyFont="1" applyFill="1" applyBorder="1" applyAlignment="1">
      <alignment horizontal="center"/>
    </xf>
    <xf numFmtId="0" fontId="3" fillId="7" borderId="34" xfId="0" applyFont="1" applyFill="1" applyBorder="1" applyAlignment="1">
      <alignment horizontal="center"/>
    </xf>
    <xf numFmtId="0" fontId="40" fillId="5" borderId="2" xfId="0" applyFont="1" applyFill="1" applyBorder="1" applyAlignment="1"/>
    <xf numFmtId="0" fontId="38" fillId="6" borderId="14" xfId="0" applyFont="1" applyFill="1" applyBorder="1" applyAlignment="1"/>
    <xf numFmtId="0" fontId="42" fillId="7" borderId="15" xfId="0" applyFont="1" applyFill="1" applyBorder="1" applyAlignment="1"/>
    <xf numFmtId="0" fontId="3" fillId="8" borderId="50" xfId="0" applyFont="1" applyFill="1" applyBorder="1" applyAlignment="1">
      <alignment horizontal="center"/>
    </xf>
    <xf numFmtId="0" fontId="3" fillId="8" borderId="51" xfId="0" applyFont="1" applyFill="1" applyBorder="1" applyAlignment="1">
      <alignment horizontal="center"/>
    </xf>
    <xf numFmtId="0" fontId="3" fillId="8" borderId="81" xfId="0" applyFont="1" applyFill="1" applyBorder="1" applyAlignment="1">
      <alignment horizontal="center"/>
    </xf>
    <xf numFmtId="0" fontId="3" fillId="8" borderId="61" xfId="0" applyFont="1" applyFill="1" applyBorder="1" applyAlignment="1">
      <alignment horizontal="center"/>
    </xf>
    <xf numFmtId="0" fontId="42" fillId="7" borderId="2" xfId="0" applyFont="1" applyFill="1" applyBorder="1" applyAlignment="1"/>
    <xf numFmtId="0" fontId="3" fillId="8" borderId="57" xfId="0" applyFont="1" applyFill="1" applyBorder="1" applyAlignment="1">
      <alignment horizontal="center"/>
    </xf>
    <xf numFmtId="0" fontId="3" fillId="8" borderId="30" xfId="0" applyFont="1" applyFill="1" applyBorder="1" applyAlignment="1">
      <alignment horizontal="center"/>
    </xf>
    <xf numFmtId="0" fontId="3" fillId="8" borderId="4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40" fillId="5" borderId="17" xfId="0" applyFont="1" applyFill="1" applyBorder="1" applyAlignment="1"/>
    <xf numFmtId="0" fontId="40" fillId="5" borderId="20" xfId="0" applyFont="1" applyFill="1" applyBorder="1" applyAlignment="1"/>
    <xf numFmtId="0" fontId="38" fillId="6" borderId="19" xfId="0" applyFont="1" applyFill="1" applyBorder="1" applyAlignment="1"/>
    <xf numFmtId="0" fontId="40" fillId="5" borderId="10" xfId="0" applyFont="1" applyFill="1" applyBorder="1" applyAlignment="1"/>
    <xf numFmtId="0" fontId="42" fillId="7" borderId="17" xfId="0" applyFont="1" applyFill="1" applyBorder="1" applyAlignment="1"/>
    <xf numFmtId="0" fontId="3" fillId="8" borderId="74" xfId="0" applyFont="1" applyFill="1" applyBorder="1" applyAlignment="1">
      <alignment horizontal="center"/>
    </xf>
    <xf numFmtId="0" fontId="3" fillId="8" borderId="70" xfId="0" applyFont="1" applyFill="1" applyBorder="1" applyAlignment="1">
      <alignment horizontal="center"/>
    </xf>
    <xf numFmtId="0" fontId="3" fillId="8" borderId="71" xfId="0" applyFont="1" applyFill="1" applyBorder="1" applyAlignment="1">
      <alignment horizontal="center"/>
    </xf>
    <xf numFmtId="0" fontId="3" fillId="8" borderId="19" xfId="0" applyFont="1" applyFill="1" applyBorder="1" applyAlignment="1">
      <alignment horizontal="center"/>
    </xf>
    <xf numFmtId="0" fontId="39" fillId="5" borderId="63" xfId="0" applyFont="1" applyFill="1" applyBorder="1" applyAlignment="1">
      <alignment horizontal="center"/>
    </xf>
    <xf numFmtId="0" fontId="39" fillId="7" borderId="63" xfId="0" applyFont="1" applyFill="1" applyBorder="1" applyAlignment="1">
      <alignment horizontal="center"/>
    </xf>
    <xf numFmtId="0" fontId="39" fillId="7" borderId="19" xfId="0" applyFont="1" applyFill="1" applyBorder="1" applyAlignment="1">
      <alignment horizontal="center"/>
    </xf>
    <xf numFmtId="0" fontId="39" fillId="8" borderId="25" xfId="0" applyFont="1" applyFill="1" applyBorder="1" applyAlignment="1">
      <alignment horizontal="center"/>
    </xf>
    <xf numFmtId="0" fontId="43" fillId="7" borderId="41" xfId="0" applyFont="1" applyFill="1" applyBorder="1" applyAlignment="1">
      <alignment horizontal="center"/>
    </xf>
    <xf numFmtId="0" fontId="43" fillId="7" borderId="14" xfId="0" applyFont="1" applyFill="1" applyBorder="1" applyAlignment="1">
      <alignment horizontal="center"/>
    </xf>
    <xf numFmtId="0" fontId="43" fillId="7" borderId="19" xfId="0" applyFont="1" applyFill="1" applyBorder="1" applyAlignment="1">
      <alignment horizontal="center"/>
    </xf>
    <xf numFmtId="0" fontId="3" fillId="15" borderId="47" xfId="0" applyFont="1" applyFill="1" applyBorder="1" applyAlignment="1">
      <alignment horizontal="center"/>
    </xf>
    <xf numFmtId="0" fontId="3" fillId="15" borderId="62" xfId="0" applyFont="1" applyFill="1" applyBorder="1" applyAlignment="1">
      <alignment horizontal="center"/>
    </xf>
    <xf numFmtId="0" fontId="3" fillId="15" borderId="24" xfId="0" applyFont="1" applyFill="1" applyBorder="1" applyAlignment="1">
      <alignment horizontal="center"/>
    </xf>
    <xf numFmtId="0" fontId="3" fillId="15" borderId="61" xfId="0" applyFont="1" applyFill="1" applyBorder="1" applyAlignment="1">
      <alignment horizontal="center"/>
    </xf>
    <xf numFmtId="0" fontId="3" fillId="15" borderId="50" xfId="0" applyFont="1" applyFill="1" applyBorder="1" applyAlignment="1">
      <alignment horizontal="center"/>
    </xf>
    <xf numFmtId="0" fontId="3" fillId="15" borderId="69" xfId="0" applyFont="1" applyFill="1" applyBorder="1" applyAlignment="1">
      <alignment horizontal="center"/>
    </xf>
    <xf numFmtId="0" fontId="3" fillId="15" borderId="55" xfId="0" applyFont="1" applyFill="1" applyBorder="1" applyAlignment="1">
      <alignment horizontal="center"/>
    </xf>
    <xf numFmtId="0" fontId="40" fillId="5" borderId="20" xfId="0" applyFont="1" applyFill="1" applyBorder="1" applyAlignment="1">
      <alignment horizontal="center"/>
    </xf>
    <xf numFmtId="0" fontId="38" fillId="8" borderId="19" xfId="0" applyFont="1" applyFill="1" applyBorder="1" applyAlignment="1">
      <alignment horizontal="center"/>
    </xf>
    <xf numFmtId="0" fontId="40" fillId="2" borderId="15" xfId="0" applyFont="1" applyFill="1" applyBorder="1" applyAlignment="1">
      <alignment horizontal="center"/>
    </xf>
    <xf numFmtId="0" fontId="40" fillId="2" borderId="3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40" fillId="15" borderId="41" xfId="0" applyFont="1" applyFill="1" applyBorder="1" applyAlignment="1">
      <alignment horizontal="center"/>
    </xf>
    <xf numFmtId="0" fontId="3" fillId="8" borderId="33" xfId="0" applyFont="1" applyFill="1" applyBorder="1" applyAlignment="1">
      <alignment horizontal="center"/>
    </xf>
    <xf numFmtId="0" fontId="39" fillId="8" borderId="9" xfId="0" applyFont="1" applyFill="1" applyBorder="1" applyAlignment="1">
      <alignment horizontal="center"/>
    </xf>
    <xf numFmtId="0" fontId="40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0" fillId="15" borderId="14" xfId="0" applyFont="1" applyFill="1" applyBorder="1" applyAlignment="1">
      <alignment horizontal="center"/>
    </xf>
    <xf numFmtId="0" fontId="40" fillId="2" borderId="17" xfId="0" applyFont="1" applyFill="1" applyBorder="1" applyAlignment="1">
      <alignment horizontal="center"/>
    </xf>
    <xf numFmtId="0" fontId="40" fillId="2" borderId="20" xfId="0" applyFont="1" applyFill="1" applyBorder="1" applyAlignment="1">
      <alignment horizontal="center"/>
    </xf>
    <xf numFmtId="0" fontId="40" fillId="15" borderId="19" xfId="0" applyFont="1" applyFill="1" applyBorder="1" applyAlignment="1">
      <alignment horizontal="center"/>
    </xf>
    <xf numFmtId="0" fontId="39" fillId="3" borderId="63" xfId="0" applyFont="1" applyFill="1" applyBorder="1" applyAlignment="1">
      <alignment horizontal="center"/>
    </xf>
    <xf numFmtId="0" fontId="39" fillId="3" borderId="17" xfId="0" applyFont="1" applyFill="1" applyBorder="1" applyAlignment="1">
      <alignment horizontal="center"/>
    </xf>
    <xf numFmtId="0" fontId="39" fillId="15" borderId="58" xfId="0" applyFont="1" applyFill="1" applyBorder="1" applyAlignment="1">
      <alignment horizontal="center"/>
    </xf>
    <xf numFmtId="0" fontId="39" fillId="15" borderId="63" xfId="0" applyFont="1" applyFill="1" applyBorder="1" applyAlignment="1">
      <alignment horizontal="center"/>
    </xf>
    <xf numFmtId="0" fontId="39" fillId="15" borderId="20" xfId="0" applyFont="1" applyFill="1" applyBorder="1" applyAlignment="1">
      <alignment horizontal="center"/>
    </xf>
    <xf numFmtId="0" fontId="39" fillId="15" borderId="25" xfId="0" applyFont="1" applyFill="1" applyBorder="1" applyAlignment="1">
      <alignment horizontal="center"/>
    </xf>
    <xf numFmtId="0" fontId="39" fillId="15" borderId="19" xfId="0" applyFont="1" applyFill="1" applyBorder="1" applyAlignment="1">
      <alignment horizontal="center"/>
    </xf>
    <xf numFmtId="0" fontId="39" fillId="8" borderId="62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38" fillId="16" borderId="41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38" fillId="16" borderId="14" xfId="0" applyFont="1" applyFill="1" applyBorder="1" applyAlignment="1">
      <alignment horizontal="center"/>
    </xf>
    <xf numFmtId="0" fontId="40" fillId="5" borderId="17" xfId="0" applyFont="1" applyFill="1" applyBorder="1" applyAlignment="1">
      <alignment horizontal="center"/>
    </xf>
    <xf numFmtId="0" fontId="38" fillId="16" borderId="19" xfId="0" applyFont="1" applyFill="1" applyBorder="1" applyAlignment="1">
      <alignment horizontal="center"/>
    </xf>
    <xf numFmtId="0" fontId="3" fillId="16" borderId="24" xfId="0" applyFont="1" applyFill="1" applyBorder="1" applyAlignment="1">
      <alignment horizontal="center" vertical="center"/>
    </xf>
    <xf numFmtId="0" fontId="3" fillId="16" borderId="33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9" borderId="35" xfId="0" applyFont="1" applyFill="1" applyBorder="1" applyAlignment="1">
      <alignment horizontal="center"/>
    </xf>
    <xf numFmtId="0" fontId="37" fillId="3" borderId="63" xfId="0" applyFont="1" applyFill="1" applyBorder="1" applyAlignment="1">
      <alignment horizontal="center" vertical="center"/>
    </xf>
    <xf numFmtId="0" fontId="37" fillId="3" borderId="19" xfId="0" applyFont="1" applyFill="1" applyBorder="1" applyAlignment="1">
      <alignment horizontal="center" vertical="center"/>
    </xf>
    <xf numFmtId="0" fontId="37" fillId="15" borderId="63" xfId="0" applyFont="1" applyFill="1" applyBorder="1" applyAlignment="1">
      <alignment horizontal="center" vertical="center"/>
    </xf>
    <xf numFmtId="0" fontId="37" fillId="16" borderId="19" xfId="0" applyFont="1" applyFill="1" applyBorder="1" applyAlignment="1">
      <alignment horizontal="center" vertical="center"/>
    </xf>
    <xf numFmtId="0" fontId="37" fillId="0" borderId="63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12" borderId="19" xfId="0" applyFont="1" applyFill="1" applyBorder="1" applyAlignment="1">
      <alignment horizontal="center" vertical="center"/>
    </xf>
    <xf numFmtId="0" fontId="37" fillId="10" borderId="25" xfId="0" applyFont="1" applyFill="1" applyBorder="1" applyAlignment="1">
      <alignment horizontal="center" vertical="center"/>
    </xf>
    <xf numFmtId="0" fontId="38" fillId="7" borderId="22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3" fillId="6" borderId="43" xfId="0" applyFont="1" applyFill="1" applyBorder="1" applyAlignment="1">
      <alignment horizontal="center"/>
    </xf>
    <xf numFmtId="0" fontId="3" fillId="6" borderId="36" xfId="0" applyFont="1" applyFill="1" applyBorder="1" applyAlignment="1">
      <alignment horizontal="center"/>
    </xf>
    <xf numFmtId="0" fontId="2" fillId="0" borderId="10" xfId="0" applyFont="1" applyBorder="1" applyAlignment="1">
      <alignment vertical="center" textRotation="90"/>
    </xf>
    <xf numFmtId="0" fontId="2" fillId="0" borderId="3" xfId="0" applyFont="1" applyBorder="1" applyAlignment="1">
      <alignment vertical="center" textRotation="90"/>
    </xf>
    <xf numFmtId="0" fontId="3" fillId="2" borderId="34" xfId="0" applyFont="1" applyFill="1" applyBorder="1" applyAlignment="1">
      <alignment horizontal="center"/>
    </xf>
    <xf numFmtId="0" fontId="39" fillId="15" borderId="31" xfId="0" applyFont="1" applyFill="1" applyBorder="1" applyAlignment="1">
      <alignment horizontal="center" vertical="center"/>
    </xf>
    <xf numFmtId="0" fontId="39" fillId="15" borderId="30" xfId="0" applyFont="1" applyFill="1" applyBorder="1" applyAlignment="1">
      <alignment horizontal="center" vertical="center"/>
    </xf>
    <xf numFmtId="0" fontId="39" fillId="15" borderId="40" xfId="0" applyFont="1" applyFill="1" applyBorder="1" applyAlignment="1">
      <alignment horizontal="center" vertical="center"/>
    </xf>
    <xf numFmtId="0" fontId="39" fillId="16" borderId="61" xfId="0" applyFont="1" applyFill="1" applyBorder="1" applyAlignment="1">
      <alignment horizontal="center" vertical="center"/>
    </xf>
    <xf numFmtId="0" fontId="38" fillId="3" borderId="14" xfId="0" applyFont="1" applyFill="1" applyBorder="1" applyAlignment="1">
      <alignment horizontal="center"/>
    </xf>
    <xf numFmtId="0" fontId="39" fillId="7" borderId="33" xfId="0" applyFont="1" applyFill="1" applyBorder="1" applyAlignment="1">
      <alignment horizontal="center" vertical="center"/>
    </xf>
    <xf numFmtId="0" fontId="39" fillId="7" borderId="10" xfId="0" applyFont="1" applyFill="1" applyBorder="1" applyAlignment="1">
      <alignment horizontal="center" vertical="center"/>
    </xf>
    <xf numFmtId="0" fontId="3" fillId="16" borderId="9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/>
    </xf>
    <xf numFmtId="0" fontId="3" fillId="16" borderId="21" xfId="0" applyFont="1" applyFill="1" applyBorder="1" applyAlignment="1">
      <alignment horizontal="center" vertical="center"/>
    </xf>
    <xf numFmtId="0" fontId="39" fillId="7" borderId="30" xfId="0" applyFont="1" applyFill="1" applyBorder="1" applyAlignment="1">
      <alignment horizontal="center" vertical="center"/>
    </xf>
    <xf numFmtId="0" fontId="39" fillId="7" borderId="40" xfId="0" applyFont="1" applyFill="1" applyBorder="1" applyAlignment="1">
      <alignment horizontal="center" vertical="center"/>
    </xf>
    <xf numFmtId="0" fontId="39" fillId="7" borderId="6" xfId="0" applyFont="1" applyFill="1" applyBorder="1" applyAlignment="1">
      <alignment horizontal="center" vertical="center"/>
    </xf>
    <xf numFmtId="0" fontId="39" fillId="7" borderId="39" xfId="0" applyFont="1" applyFill="1" applyBorder="1" applyAlignment="1">
      <alignment horizontal="center" vertical="center"/>
    </xf>
    <xf numFmtId="0" fontId="39" fillId="7" borderId="28" xfId="0" applyFont="1" applyFill="1" applyBorder="1" applyAlignment="1">
      <alignment horizontal="center" vertical="center"/>
    </xf>
    <xf numFmtId="0" fontId="39" fillId="7" borderId="66" xfId="0" applyFont="1" applyFill="1" applyBorder="1" applyAlignment="1">
      <alignment horizontal="center" vertical="center"/>
    </xf>
    <xf numFmtId="0" fontId="39" fillId="7" borderId="70" xfId="0" applyFont="1" applyFill="1" applyBorder="1" applyAlignment="1">
      <alignment horizontal="center" vertical="center"/>
    </xf>
    <xf numFmtId="0" fontId="39" fillId="7" borderId="71" xfId="0" applyFont="1" applyFill="1" applyBorder="1" applyAlignment="1">
      <alignment horizontal="center" vertical="center"/>
    </xf>
    <xf numFmtId="0" fontId="3" fillId="16" borderId="68" xfId="0" applyFont="1" applyFill="1" applyBorder="1" applyAlignment="1">
      <alignment horizontal="center" vertical="center"/>
    </xf>
    <xf numFmtId="0" fontId="39" fillId="8" borderId="50" xfId="0" applyFont="1" applyFill="1" applyBorder="1" applyAlignment="1">
      <alignment horizontal="center" vertical="center"/>
    </xf>
    <xf numFmtId="0" fontId="39" fillId="8" borderId="61" xfId="0" applyFont="1" applyFill="1" applyBorder="1" applyAlignment="1">
      <alignment horizontal="center" vertical="center"/>
    </xf>
    <xf numFmtId="0" fontId="39" fillId="8" borderId="45" xfId="0" applyFont="1" applyFill="1" applyBorder="1" applyAlignment="1">
      <alignment horizontal="center" vertical="center"/>
    </xf>
    <xf numFmtId="0" fontId="39" fillId="8" borderId="41" xfId="0" applyFont="1" applyFill="1" applyBorder="1" applyAlignment="1">
      <alignment horizontal="center" vertical="center"/>
    </xf>
    <xf numFmtId="0" fontId="3" fillId="6" borderId="56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4" borderId="24" xfId="0" applyFont="1" applyFill="1" applyBorder="1" applyAlignment="1">
      <alignment horizontal="center" vertical="center"/>
    </xf>
    <xf numFmtId="0" fontId="3" fillId="6" borderId="61" xfId="0" applyFont="1" applyFill="1" applyBorder="1"/>
    <xf numFmtId="0" fontId="3" fillId="6" borderId="12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/>
    </xf>
    <xf numFmtId="0" fontId="44" fillId="15" borderId="41" xfId="0" applyFont="1" applyFill="1" applyBorder="1" applyAlignment="1">
      <alignment horizontal="center"/>
    </xf>
    <xf numFmtId="0" fontId="40" fillId="5" borderId="16" xfId="0" applyFont="1" applyFill="1" applyBorder="1" applyAlignment="1">
      <alignment horizontal="center"/>
    </xf>
    <xf numFmtId="0" fontId="3" fillId="6" borderId="21" xfId="0" applyFont="1" applyFill="1" applyBorder="1"/>
    <xf numFmtId="0" fontId="44" fillId="15" borderId="14" xfId="0" applyFont="1" applyFill="1" applyBorder="1" applyAlignment="1">
      <alignment horizontal="center"/>
    </xf>
    <xf numFmtId="0" fontId="40" fillId="5" borderId="1" xfId="0" applyFont="1" applyFill="1" applyBorder="1" applyAlignment="1">
      <alignment horizontal="center"/>
    </xf>
    <xf numFmtId="16" fontId="3" fillId="6" borderId="21" xfId="0" applyNumberFormat="1" applyFont="1" applyFill="1" applyBorder="1" applyAlignment="1">
      <alignment horizontal="left"/>
    </xf>
    <xf numFmtId="0" fontId="45" fillId="7" borderId="21" xfId="0" applyFont="1" applyFill="1" applyBorder="1"/>
    <xf numFmtId="0" fontId="38" fillId="6" borderId="0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9" fillId="7" borderId="21" xfId="0" applyFont="1" applyFill="1" applyBorder="1"/>
    <xf numFmtId="0" fontId="3" fillId="7" borderId="12" xfId="0" applyFont="1" applyFill="1" applyBorder="1" applyAlignment="1">
      <alignment horizontal="center"/>
    </xf>
    <xf numFmtId="0" fontId="39" fillId="7" borderId="74" xfId="0" applyFont="1" applyFill="1" applyBorder="1" applyAlignment="1">
      <alignment horizontal="center"/>
    </xf>
    <xf numFmtId="0" fontId="3" fillId="7" borderId="70" xfId="0" applyFont="1" applyFill="1" applyBorder="1" applyAlignment="1">
      <alignment horizontal="center"/>
    </xf>
    <xf numFmtId="0" fontId="3" fillId="7" borderId="75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40" fillId="5" borderId="18" xfId="0" applyFont="1" applyFill="1" applyBorder="1" applyAlignment="1">
      <alignment horizontal="center"/>
    </xf>
    <xf numFmtId="0" fontId="39" fillId="8" borderId="22" xfId="0" applyFont="1" applyFill="1" applyBorder="1"/>
    <xf numFmtId="0" fontId="38" fillId="6" borderId="1" xfId="0" applyFont="1" applyFill="1" applyBorder="1" applyAlignment="1">
      <alignment horizontal="center"/>
    </xf>
    <xf numFmtId="0" fontId="42" fillId="7" borderId="41" xfId="0" applyFont="1" applyFill="1" applyBorder="1" applyAlignment="1">
      <alignment horizontal="center"/>
    </xf>
    <xf numFmtId="0" fontId="3" fillId="8" borderId="27" xfId="0" applyFont="1" applyFill="1" applyBorder="1" applyAlignment="1">
      <alignment horizontal="center"/>
    </xf>
    <xf numFmtId="0" fontId="3" fillId="8" borderId="32" xfId="0" applyFont="1" applyFill="1" applyBorder="1" applyAlignment="1">
      <alignment horizontal="center"/>
    </xf>
    <xf numFmtId="0" fontId="3" fillId="8" borderId="25" xfId="0" applyFont="1" applyFill="1" applyBorder="1" applyAlignment="1">
      <alignment horizontal="center"/>
    </xf>
    <xf numFmtId="0" fontId="39" fillId="8" borderId="21" xfId="0" applyFont="1" applyFill="1" applyBorder="1"/>
    <xf numFmtId="0" fontId="38" fillId="6" borderId="18" xfId="0" applyFont="1" applyFill="1" applyBorder="1" applyAlignment="1">
      <alignment horizontal="center"/>
    </xf>
    <xf numFmtId="0" fontId="42" fillId="7" borderId="19" xfId="0" applyFont="1" applyFill="1" applyBorder="1" applyAlignment="1">
      <alignment horizontal="center"/>
    </xf>
    <xf numFmtId="0" fontId="3" fillId="8" borderId="29" xfId="0" applyFont="1" applyFill="1" applyBorder="1" applyAlignment="1">
      <alignment horizontal="center"/>
    </xf>
    <xf numFmtId="0" fontId="3" fillId="8" borderId="14" xfId="0" applyFont="1" applyFill="1" applyBorder="1" applyAlignment="1">
      <alignment horizontal="center"/>
    </xf>
    <xf numFmtId="0" fontId="19" fillId="0" borderId="19" xfId="0" applyFont="1" applyBorder="1" applyAlignment="1">
      <alignment horizontal="center" vertical="center"/>
    </xf>
    <xf numFmtId="0" fontId="39" fillId="6" borderId="63" xfId="0" applyFont="1" applyFill="1" applyBorder="1" applyAlignment="1">
      <alignment horizontal="center" vertical="center"/>
    </xf>
    <xf numFmtId="0" fontId="39" fillId="7" borderId="63" xfId="0" applyFont="1" applyFill="1" applyBorder="1" applyAlignment="1">
      <alignment horizontal="center" vertical="center"/>
    </xf>
    <xf numFmtId="0" fontId="39" fillId="7" borderId="19" xfId="0" applyFont="1" applyFill="1" applyBorder="1" applyAlignment="1">
      <alignment horizontal="center" vertical="center"/>
    </xf>
    <xf numFmtId="0" fontId="39" fillId="5" borderId="47" xfId="0" applyFont="1" applyFill="1" applyBorder="1" applyAlignment="1">
      <alignment horizontal="center" vertical="center"/>
    </xf>
    <xf numFmtId="0" fontId="39" fillId="5" borderId="26" xfId="0" applyFont="1" applyFill="1" applyBorder="1" applyAlignment="1">
      <alignment horizontal="center" vertical="center"/>
    </xf>
    <xf numFmtId="0" fontId="39" fillId="5" borderId="25" xfId="0" applyFont="1" applyFill="1" applyBorder="1" applyAlignment="1">
      <alignment horizontal="center" vertical="center"/>
    </xf>
    <xf numFmtId="0" fontId="39" fillId="8" borderId="25" xfId="0" applyFont="1" applyFill="1" applyBorder="1" applyAlignment="1">
      <alignment horizontal="center" vertical="center"/>
    </xf>
    <xf numFmtId="0" fontId="3" fillId="10" borderId="2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39" fillId="6" borderId="0" xfId="0" applyFont="1" applyFill="1" applyBorder="1" applyAlignment="1">
      <alignment horizontal="center" vertical="center"/>
    </xf>
    <xf numFmtId="0" fontId="39" fillId="7" borderId="0" xfId="0" applyFont="1" applyFill="1" applyBorder="1" applyAlignment="1">
      <alignment horizontal="center" vertical="center"/>
    </xf>
    <xf numFmtId="0" fontId="39" fillId="5" borderId="0" xfId="0" applyFont="1" applyFill="1" applyBorder="1" applyAlignment="1">
      <alignment horizontal="center" vertical="center"/>
    </xf>
    <xf numFmtId="0" fontId="39" fillId="8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19" fillId="6" borderId="41" xfId="0" applyFont="1" applyFill="1" applyBorder="1" applyAlignment="1">
      <alignment horizontal="center"/>
    </xf>
    <xf numFmtId="0" fontId="3" fillId="9" borderId="41" xfId="0" applyFont="1" applyFill="1" applyBorder="1" applyAlignment="1">
      <alignment horizontal="center"/>
    </xf>
    <xf numFmtId="0" fontId="19" fillId="6" borderId="14" xfId="0" applyFont="1" applyFill="1" applyBorder="1" applyAlignment="1">
      <alignment horizontal="center"/>
    </xf>
    <xf numFmtId="0" fontId="19" fillId="9" borderId="14" xfId="0" applyFont="1" applyFill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72" xfId="0" applyFont="1" applyBorder="1" applyAlignment="1">
      <alignment horizontal="center"/>
    </xf>
    <xf numFmtId="0" fontId="2" fillId="5" borderId="41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3" fillId="9" borderId="19" xfId="0" applyFont="1" applyFill="1" applyBorder="1" applyAlignment="1">
      <alignment horizontal="center"/>
    </xf>
    <xf numFmtId="0" fontId="38" fillId="7" borderId="1" xfId="0" applyFont="1" applyFill="1" applyBorder="1" applyAlignment="1">
      <alignment horizontal="center"/>
    </xf>
    <xf numFmtId="0" fontId="46" fillId="5" borderId="41" xfId="0" applyFont="1" applyFill="1" applyBorder="1" applyAlignment="1">
      <alignment horizontal="center" vertical="center"/>
    </xf>
    <xf numFmtId="0" fontId="46" fillId="5" borderId="45" xfId="0" applyFont="1" applyFill="1" applyBorder="1" applyAlignment="1">
      <alignment horizontal="center" vertical="center"/>
    </xf>
    <xf numFmtId="0" fontId="47" fillId="4" borderId="16" xfId="0" applyFont="1" applyFill="1" applyBorder="1" applyAlignment="1">
      <alignment horizontal="center" vertical="center"/>
    </xf>
    <xf numFmtId="0" fontId="46" fillId="5" borderId="22" xfId="0" applyFont="1" applyFill="1" applyBorder="1" applyAlignment="1">
      <alignment horizontal="center" vertical="center"/>
    </xf>
    <xf numFmtId="0" fontId="46" fillId="5" borderId="7" xfId="0" applyFont="1" applyFill="1" applyBorder="1" applyAlignment="1">
      <alignment horizontal="center" vertical="center"/>
    </xf>
    <xf numFmtId="0" fontId="46" fillId="5" borderId="6" xfId="0" applyFont="1" applyFill="1" applyBorder="1" applyAlignment="1">
      <alignment horizontal="center" vertical="center"/>
    </xf>
    <xf numFmtId="0" fontId="46" fillId="4" borderId="41" xfId="0" applyFont="1" applyFill="1" applyBorder="1" applyAlignment="1">
      <alignment horizontal="center" vertical="center"/>
    </xf>
    <xf numFmtId="0" fontId="9" fillId="4" borderId="97" xfId="0" applyFont="1" applyFill="1" applyBorder="1" applyAlignment="1">
      <alignment horizontal="center" vertical="center"/>
    </xf>
    <xf numFmtId="0" fontId="46" fillId="5" borderId="25" xfId="0" applyFont="1" applyFill="1" applyBorder="1" applyAlignment="1">
      <alignment horizontal="center" vertical="center"/>
    </xf>
    <xf numFmtId="0" fontId="46" fillId="5" borderId="47" xfId="0" applyFont="1" applyFill="1" applyBorder="1" applyAlignment="1">
      <alignment horizontal="center" vertical="center"/>
    </xf>
    <xf numFmtId="0" fontId="47" fillId="4" borderId="24" xfId="0" applyFont="1" applyFill="1" applyBorder="1" applyAlignment="1">
      <alignment horizontal="center" vertical="center"/>
    </xf>
    <xf numFmtId="0" fontId="46" fillId="5" borderId="26" xfId="0" applyFont="1" applyFill="1" applyBorder="1" applyAlignment="1">
      <alignment horizontal="center" vertical="center"/>
    </xf>
    <xf numFmtId="0" fontId="46" fillId="5" borderId="62" xfId="0" applyFont="1" applyFill="1" applyBorder="1" applyAlignment="1">
      <alignment horizontal="center" vertical="center"/>
    </xf>
    <xf numFmtId="0" fontId="46" fillId="4" borderId="25" xfId="0" applyFont="1" applyFill="1" applyBorder="1" applyAlignment="1">
      <alignment horizontal="center" vertical="center"/>
    </xf>
    <xf numFmtId="0" fontId="9" fillId="4" borderId="101" xfId="0" applyFont="1" applyFill="1" applyBorder="1" applyAlignment="1">
      <alignment horizontal="center" vertical="center"/>
    </xf>
    <xf numFmtId="0" fontId="46" fillId="5" borderId="14" xfId="0" applyFont="1" applyFill="1" applyBorder="1" applyAlignment="1">
      <alignment horizontal="center" vertical="center"/>
    </xf>
    <xf numFmtId="0" fontId="46" fillId="5" borderId="38" xfId="0" applyFont="1" applyFill="1" applyBorder="1" applyAlignment="1">
      <alignment horizontal="center" vertical="center"/>
    </xf>
    <xf numFmtId="0" fontId="47" fillId="4" borderId="1" xfId="0" applyFont="1" applyFill="1" applyBorder="1" applyAlignment="1">
      <alignment horizontal="center" vertical="center"/>
    </xf>
    <xf numFmtId="0" fontId="46" fillId="5" borderId="0" xfId="0" applyFont="1" applyFill="1" applyBorder="1" applyAlignment="1">
      <alignment horizontal="center" vertical="center"/>
    </xf>
    <xf numFmtId="0" fontId="46" fillId="5" borderId="29" xfId="0" applyFont="1" applyFill="1" applyBorder="1" applyAlignment="1">
      <alignment horizontal="center" vertical="center"/>
    </xf>
    <xf numFmtId="0" fontId="46" fillId="4" borderId="14" xfId="0" applyFont="1" applyFill="1" applyBorder="1" applyAlignment="1">
      <alignment horizontal="center" vertical="center"/>
    </xf>
    <xf numFmtId="0" fontId="46" fillId="5" borderId="19" xfId="0" applyFont="1" applyFill="1" applyBorder="1" applyAlignment="1">
      <alignment horizontal="center" vertical="center"/>
    </xf>
    <xf numFmtId="0" fontId="9" fillId="4" borderId="92" xfId="0" applyFont="1" applyFill="1" applyBorder="1" applyAlignment="1">
      <alignment horizontal="center" vertical="center"/>
    </xf>
    <xf numFmtId="0" fontId="47" fillId="4" borderId="62" xfId="0" applyFont="1" applyFill="1" applyBorder="1" applyAlignment="1">
      <alignment horizontal="center" vertical="center"/>
    </xf>
    <xf numFmtId="0" fontId="46" fillId="4" borderId="47" xfId="0" applyFont="1" applyFill="1" applyBorder="1" applyAlignment="1">
      <alignment horizontal="center" vertical="center"/>
    </xf>
    <xf numFmtId="0" fontId="46" fillId="5" borderId="23" xfId="0" applyFont="1" applyFill="1" applyBorder="1" applyAlignment="1">
      <alignment horizontal="center" vertical="center"/>
    </xf>
    <xf numFmtId="0" fontId="46" fillId="5" borderId="95" xfId="0" applyFont="1" applyFill="1" applyBorder="1" applyAlignment="1">
      <alignment horizontal="center" vertical="center"/>
    </xf>
    <xf numFmtId="0" fontId="46" fillId="5" borderId="104" xfId="0" applyFont="1" applyFill="1" applyBorder="1" applyAlignment="1">
      <alignment horizontal="center" vertical="center"/>
    </xf>
    <xf numFmtId="0" fontId="46" fillId="5" borderId="103" xfId="0" applyFont="1" applyFill="1" applyBorder="1" applyAlignment="1">
      <alignment horizontal="center" vertical="center"/>
    </xf>
    <xf numFmtId="0" fontId="47" fillId="4" borderId="95" xfId="0" applyFont="1" applyFill="1" applyBorder="1" applyAlignment="1">
      <alignment horizontal="center" vertical="center"/>
    </xf>
    <xf numFmtId="0" fontId="46" fillId="5" borderId="86" xfId="0" applyFont="1" applyFill="1" applyBorder="1" applyAlignment="1">
      <alignment horizontal="center" vertical="center"/>
    </xf>
    <xf numFmtId="0" fontId="46" fillId="4" borderId="104" xfId="0" applyFont="1" applyFill="1" applyBorder="1" applyAlignment="1">
      <alignment horizontal="center" vertical="center"/>
    </xf>
    <xf numFmtId="0" fontId="46" fillId="5" borderId="87" xfId="0" applyFont="1" applyFill="1" applyBorder="1" applyAlignment="1">
      <alignment horizontal="center" vertical="center"/>
    </xf>
    <xf numFmtId="0" fontId="9" fillId="4" borderId="88" xfId="0" applyFont="1" applyFill="1" applyBorder="1" applyAlignment="1">
      <alignment horizontal="center" vertical="center"/>
    </xf>
    <xf numFmtId="0" fontId="46" fillId="0" borderId="99" xfId="0" applyFont="1" applyBorder="1" applyAlignment="1">
      <alignment horizontal="center" vertical="center"/>
    </xf>
    <xf numFmtId="0" fontId="46" fillId="0" borderId="79" xfId="0" applyFont="1" applyBorder="1" applyAlignment="1">
      <alignment horizontal="center" vertical="center"/>
    </xf>
    <xf numFmtId="0" fontId="46" fillId="0" borderId="80" xfId="0" applyFont="1" applyBorder="1" applyAlignment="1">
      <alignment horizontal="center" vertical="center"/>
    </xf>
    <xf numFmtId="0" fontId="47" fillId="4" borderId="79" xfId="0" applyFont="1" applyFill="1" applyBorder="1" applyAlignment="1">
      <alignment horizontal="center" vertical="center"/>
    </xf>
    <xf numFmtId="0" fontId="46" fillId="5" borderId="99" xfId="0" applyFont="1" applyFill="1" applyBorder="1" applyAlignment="1">
      <alignment horizontal="center" vertical="center"/>
    </xf>
    <xf numFmtId="0" fontId="46" fillId="5" borderId="76" xfId="0" applyFont="1" applyFill="1" applyBorder="1" applyAlignment="1">
      <alignment horizontal="center" vertical="center"/>
    </xf>
    <xf numFmtId="0" fontId="46" fillId="4" borderId="99" xfId="0" applyFont="1" applyFill="1" applyBorder="1" applyAlignment="1">
      <alignment horizontal="center" vertical="center"/>
    </xf>
    <xf numFmtId="0" fontId="46" fillId="5" borderId="98" xfId="0" applyFont="1" applyFill="1" applyBorder="1" applyAlignment="1">
      <alignment horizontal="center" vertical="center"/>
    </xf>
    <xf numFmtId="0" fontId="47" fillId="4" borderId="103" xfId="0" applyFont="1" applyFill="1" applyBorder="1" applyAlignment="1">
      <alignment horizontal="center" vertical="center"/>
    </xf>
    <xf numFmtId="0" fontId="9" fillId="4" borderId="102" xfId="0" applyFont="1" applyFill="1" applyBorder="1" applyAlignment="1">
      <alignment horizontal="center" vertical="center"/>
    </xf>
    <xf numFmtId="0" fontId="3" fillId="10" borderId="25" xfId="0" applyFont="1" applyFill="1" applyBorder="1" applyAlignment="1">
      <alignment horizontal="center"/>
    </xf>
    <xf numFmtId="0" fontId="39" fillId="5" borderId="62" xfId="0" applyFont="1" applyFill="1" applyBorder="1" applyAlignment="1">
      <alignment horizontal="center"/>
    </xf>
    <xf numFmtId="0" fontId="39" fillId="6" borderId="25" xfId="0" applyFont="1" applyFill="1" applyBorder="1" applyAlignment="1">
      <alignment horizontal="center"/>
    </xf>
    <xf numFmtId="0" fontId="39" fillId="7" borderId="25" xfId="0" applyFont="1" applyFill="1" applyBorder="1" applyAlignment="1">
      <alignment horizontal="center"/>
    </xf>
    <xf numFmtId="0" fontId="39" fillId="0" borderId="62" xfId="0" applyFont="1" applyBorder="1" applyAlignment="1">
      <alignment horizontal="center"/>
    </xf>
    <xf numFmtId="0" fontId="38" fillId="7" borderId="16" xfId="0" applyFont="1" applyFill="1" applyBorder="1" applyAlignment="1">
      <alignment horizontal="center"/>
    </xf>
    <xf numFmtId="0" fontId="3" fillId="6" borderId="57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/>
    </xf>
    <xf numFmtId="0" fontId="3" fillId="6" borderId="73" xfId="0" applyFont="1" applyFill="1" applyBorder="1" applyAlignment="1">
      <alignment horizontal="center" vertical="center"/>
    </xf>
    <xf numFmtId="0" fontId="3" fillId="6" borderId="61" xfId="0" applyFont="1" applyFill="1" applyBorder="1" applyAlignment="1">
      <alignment horizontal="center" vertical="center"/>
    </xf>
    <xf numFmtId="0" fontId="39" fillId="6" borderId="36" xfId="0" applyFont="1" applyFill="1" applyBorder="1" applyAlignment="1">
      <alignment horizontal="center"/>
    </xf>
    <xf numFmtId="0" fontId="39" fillId="6" borderId="37" xfId="0" applyFont="1" applyFill="1" applyBorder="1" applyAlignment="1">
      <alignment horizontal="center"/>
    </xf>
    <xf numFmtId="0" fontId="39" fillId="6" borderId="41" xfId="0" applyFont="1" applyFill="1" applyBorder="1" applyAlignment="1">
      <alignment horizontal="center"/>
    </xf>
    <xf numFmtId="0" fontId="3" fillId="6" borderId="31" xfId="0" applyFont="1" applyFill="1" applyBorder="1" applyAlignment="1">
      <alignment horizontal="center"/>
    </xf>
    <xf numFmtId="0" fontId="39" fillId="6" borderId="30" xfId="0" applyFont="1" applyFill="1" applyBorder="1" applyAlignment="1">
      <alignment horizontal="center"/>
    </xf>
    <xf numFmtId="0" fontId="39" fillId="6" borderId="73" xfId="0" applyFont="1" applyFill="1" applyBorder="1" applyAlignment="1">
      <alignment horizontal="center"/>
    </xf>
    <xf numFmtId="0" fontId="39" fillId="6" borderId="21" xfId="0" applyFont="1" applyFill="1" applyBorder="1" applyAlignment="1">
      <alignment horizontal="center"/>
    </xf>
    <xf numFmtId="0" fontId="3" fillId="6" borderId="58" xfId="0" applyFont="1" applyFill="1" applyBorder="1" applyAlignment="1">
      <alignment horizontal="center"/>
    </xf>
    <xf numFmtId="0" fontId="3" fillId="6" borderId="46" xfId="0" applyFont="1" applyFill="1" applyBorder="1" applyAlignment="1">
      <alignment horizontal="center"/>
    </xf>
    <xf numFmtId="0" fontId="39" fillId="6" borderId="46" xfId="0" applyFont="1" applyFill="1" applyBorder="1" applyAlignment="1">
      <alignment horizontal="center"/>
    </xf>
    <xf numFmtId="0" fontId="39" fillId="6" borderId="59" xfId="0" applyFont="1" applyFill="1" applyBorder="1" applyAlignment="1">
      <alignment horizontal="center"/>
    </xf>
    <xf numFmtId="0" fontId="39" fillId="6" borderId="19" xfId="0" applyFont="1" applyFill="1" applyBorder="1" applyAlignment="1">
      <alignment horizontal="center"/>
    </xf>
    <xf numFmtId="0" fontId="39" fillId="15" borderId="62" xfId="0" applyFont="1" applyFill="1" applyBorder="1" applyAlignment="1">
      <alignment horizontal="center"/>
    </xf>
    <xf numFmtId="0" fontId="39" fillId="15" borderId="48" xfId="0" applyFont="1" applyFill="1" applyBorder="1" applyAlignment="1">
      <alignment horizontal="center"/>
    </xf>
    <xf numFmtId="0" fontId="39" fillId="15" borderId="49" xfId="0" applyFont="1" applyFill="1" applyBorder="1" applyAlignment="1">
      <alignment horizontal="center"/>
    </xf>
    <xf numFmtId="0" fontId="39" fillId="7" borderId="41" xfId="0" applyFont="1" applyFill="1" applyBorder="1" applyAlignment="1">
      <alignment horizontal="center"/>
    </xf>
    <xf numFmtId="0" fontId="39" fillId="13" borderId="24" xfId="0" applyFont="1" applyFill="1" applyBorder="1" applyAlignment="1">
      <alignment horizontal="center"/>
    </xf>
    <xf numFmtId="0" fontId="39" fillId="13" borderId="62" xfId="0" applyFont="1" applyFill="1" applyBorder="1" applyAlignment="1">
      <alignment horizontal="center"/>
    </xf>
    <xf numFmtId="0" fontId="39" fillId="13" borderId="49" xfId="0" applyFont="1" applyFill="1" applyBorder="1" applyAlignment="1">
      <alignment horizontal="center"/>
    </xf>
    <xf numFmtId="0" fontId="39" fillId="13" borderId="25" xfId="0" applyFont="1" applyFill="1" applyBorder="1" applyAlignment="1">
      <alignment horizontal="center"/>
    </xf>
    <xf numFmtId="0" fontId="38" fillId="7" borderId="19" xfId="0" applyFont="1" applyFill="1" applyBorder="1" applyAlignment="1">
      <alignment horizontal="center"/>
    </xf>
    <xf numFmtId="0" fontId="39" fillId="3" borderId="25" xfId="0" applyFont="1" applyFill="1" applyBorder="1" applyAlignment="1">
      <alignment horizontal="center" vertical="center"/>
    </xf>
    <xf numFmtId="0" fontId="39" fillId="3" borderId="58" xfId="0" applyFont="1" applyFill="1" applyBorder="1" applyAlignment="1">
      <alignment horizontal="center" vertical="center"/>
    </xf>
    <xf numFmtId="0" fontId="39" fillId="3" borderId="17" xfId="0" applyFont="1" applyFill="1" applyBorder="1" applyAlignment="1">
      <alignment horizontal="center" vertical="center"/>
    </xf>
    <xf numFmtId="0" fontId="39" fillId="6" borderId="68" xfId="0" applyFont="1" applyFill="1" applyBorder="1" applyAlignment="1">
      <alignment horizontal="center" vertical="center"/>
    </xf>
    <xf numFmtId="0" fontId="39" fillId="15" borderId="63" xfId="0" applyFont="1" applyFill="1" applyBorder="1" applyAlignment="1">
      <alignment horizontal="center" vertical="center"/>
    </xf>
    <xf numFmtId="0" fontId="39" fillId="13" borderId="63" xfId="0" applyFont="1" applyFill="1" applyBorder="1" applyAlignment="1">
      <alignment horizontal="center" vertical="center"/>
    </xf>
    <xf numFmtId="0" fontId="39" fillId="8" borderId="19" xfId="0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center"/>
    </xf>
    <xf numFmtId="0" fontId="27" fillId="3" borderId="63" xfId="0" applyFont="1" applyFill="1" applyBorder="1" applyAlignment="1">
      <alignment horizontal="center"/>
    </xf>
    <xf numFmtId="0" fontId="3" fillId="7" borderId="57" xfId="0" applyFont="1" applyFill="1" applyBorder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0" fontId="3" fillId="7" borderId="73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1" fillId="8" borderId="50" xfId="0" applyFont="1" applyFill="1" applyBorder="1" applyAlignment="1">
      <alignment horizontal="center"/>
    </xf>
    <xf numFmtId="0" fontId="1" fillId="8" borderId="51" xfId="0" applyFont="1" applyFill="1" applyBorder="1" applyAlignment="1">
      <alignment horizontal="center"/>
    </xf>
    <xf numFmtId="0" fontId="1" fillId="8" borderId="56" xfId="0" applyFont="1" applyFill="1" applyBorder="1" applyAlignment="1">
      <alignment horizontal="center"/>
    </xf>
    <xf numFmtId="0" fontId="37" fillId="8" borderId="57" xfId="0" applyFont="1" applyFill="1" applyBorder="1" applyAlignment="1">
      <alignment horizontal="center"/>
    </xf>
    <xf numFmtId="0" fontId="37" fillId="8" borderId="30" xfId="0" applyFont="1" applyFill="1" applyBorder="1" applyAlignment="1">
      <alignment horizontal="center"/>
    </xf>
    <xf numFmtId="0" fontId="1" fillId="8" borderId="73" xfId="0" applyFont="1" applyFill="1" applyBorder="1" applyAlignment="1">
      <alignment horizontal="center"/>
    </xf>
    <xf numFmtId="0" fontId="1" fillId="8" borderId="57" xfId="0" applyFont="1" applyFill="1" applyBorder="1" applyAlignment="1">
      <alignment horizontal="center"/>
    </xf>
    <xf numFmtId="0" fontId="1" fillId="8" borderId="30" xfId="0" applyFont="1" applyFill="1" applyBorder="1" applyAlignment="1">
      <alignment horizontal="center"/>
    </xf>
    <xf numFmtId="0" fontId="37" fillId="0" borderId="74" xfId="0" applyFont="1" applyBorder="1" applyAlignment="1">
      <alignment horizontal="center" vertical="center"/>
    </xf>
    <xf numFmtId="0" fontId="37" fillId="0" borderId="70" xfId="0" applyFont="1" applyBorder="1" applyAlignment="1">
      <alignment horizontal="center" vertical="center"/>
    </xf>
    <xf numFmtId="0" fontId="37" fillId="8" borderId="75" xfId="0" applyFont="1" applyFill="1" applyBorder="1" applyAlignment="1">
      <alignment horizontal="center" vertical="center"/>
    </xf>
    <xf numFmtId="0" fontId="1" fillId="6" borderId="69" xfId="0" applyFont="1" applyFill="1" applyBorder="1" applyAlignment="1">
      <alignment horizontal="center"/>
    </xf>
    <xf numFmtId="0" fontId="1" fillId="6" borderId="60" xfId="0" applyFont="1" applyFill="1" applyBorder="1" applyAlignment="1">
      <alignment horizontal="center"/>
    </xf>
    <xf numFmtId="0" fontId="1" fillId="6" borderId="56" xfId="0" applyFont="1" applyFill="1" applyBorder="1" applyAlignment="1">
      <alignment horizontal="center"/>
    </xf>
    <xf numFmtId="0" fontId="1" fillId="6" borderId="33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73" xfId="0" applyFont="1" applyFill="1" applyBorder="1" applyAlignment="1">
      <alignment horizontal="center"/>
    </xf>
    <xf numFmtId="0" fontId="1" fillId="6" borderId="63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1" fillId="6" borderId="75" xfId="0" applyFont="1" applyFill="1" applyBorder="1" applyAlignment="1">
      <alignment horizontal="center"/>
    </xf>
    <xf numFmtId="0" fontId="1" fillId="6" borderId="61" xfId="0" applyFont="1" applyFill="1" applyBorder="1"/>
    <xf numFmtId="0" fontId="1" fillId="6" borderId="21" xfId="0" applyFont="1" applyFill="1" applyBorder="1"/>
    <xf numFmtId="0" fontId="1" fillId="6" borderId="9" xfId="0" applyFont="1" applyFill="1" applyBorder="1"/>
    <xf numFmtId="0" fontId="1" fillId="6" borderId="68" xfId="0" applyFont="1" applyFill="1" applyBorder="1"/>
    <xf numFmtId="0" fontId="48" fillId="7" borderId="8" xfId="0" applyFont="1" applyFill="1" applyBorder="1"/>
    <xf numFmtId="0" fontId="48" fillId="7" borderId="11" xfId="0" applyFont="1" applyFill="1" applyBorder="1"/>
    <xf numFmtId="0" fontId="48" fillId="8" borderId="11" xfId="0" applyFont="1" applyFill="1" applyBorder="1"/>
    <xf numFmtId="0" fontId="37" fillId="8" borderId="23" xfId="0" applyFont="1" applyFill="1" applyBorder="1"/>
    <xf numFmtId="0" fontId="48" fillId="8" borderId="13" xfId="0" applyFont="1" applyFill="1" applyBorder="1"/>
    <xf numFmtId="0" fontId="49" fillId="0" borderId="25" xfId="0" applyFont="1" applyBorder="1" applyAlignment="1">
      <alignment horizontal="center" vertical="center"/>
    </xf>
    <xf numFmtId="0" fontId="1" fillId="7" borderId="69" xfId="0" applyFont="1" applyFill="1" applyBorder="1" applyAlignment="1">
      <alignment horizontal="center"/>
    </xf>
    <xf numFmtId="0" fontId="1" fillId="7" borderId="51" xfId="0" applyFont="1" applyFill="1" applyBorder="1" applyAlignment="1">
      <alignment horizontal="center"/>
    </xf>
    <xf numFmtId="0" fontId="1" fillId="7" borderId="81" xfId="0" applyFont="1" applyFill="1" applyBorder="1" applyAlignment="1">
      <alignment horizontal="center"/>
    </xf>
    <xf numFmtId="0" fontId="1" fillId="16" borderId="61" xfId="0" applyFont="1" applyFill="1" applyBorder="1" applyAlignment="1">
      <alignment horizontal="center"/>
    </xf>
    <xf numFmtId="0" fontId="1" fillId="7" borderId="62" xfId="0" applyFont="1" applyFill="1" applyBorder="1" applyAlignment="1">
      <alignment horizontal="center"/>
    </xf>
    <xf numFmtId="0" fontId="1" fillId="7" borderId="48" xfId="0" applyFont="1" applyFill="1" applyBorder="1" applyAlignment="1">
      <alignment horizontal="center"/>
    </xf>
    <xf numFmtId="0" fontId="1" fillId="7" borderId="49" xfId="0" applyFont="1" applyFill="1" applyBorder="1" applyAlignment="1">
      <alignment horizontal="center"/>
    </xf>
    <xf numFmtId="0" fontId="50" fillId="5" borderId="0" xfId="0" applyFont="1" applyFill="1" applyBorder="1" applyAlignment="1">
      <alignment horizontal="center"/>
    </xf>
    <xf numFmtId="0" fontId="50" fillId="16" borderId="14" xfId="0" applyFont="1" applyFill="1" applyBorder="1" applyAlignment="1">
      <alignment horizontal="center"/>
    </xf>
    <xf numFmtId="0" fontId="50" fillId="16" borderId="19" xfId="0" applyFont="1" applyFill="1" applyBorder="1" applyAlignment="1">
      <alignment horizontal="center"/>
    </xf>
    <xf numFmtId="0" fontId="37" fillId="0" borderId="62" xfId="0" applyFont="1" applyBorder="1" applyAlignment="1">
      <alignment horizontal="center" vertical="center"/>
    </xf>
    <xf numFmtId="0" fontId="37" fillId="16" borderId="25" xfId="0" applyFont="1" applyFill="1" applyBorder="1" applyAlignment="1">
      <alignment horizontal="center" vertical="center"/>
    </xf>
    <xf numFmtId="0" fontId="37" fillId="3" borderId="62" xfId="0" applyFont="1" applyFill="1" applyBorder="1" applyAlignment="1">
      <alignment horizontal="center" vertical="center"/>
    </xf>
    <xf numFmtId="0" fontId="18" fillId="0" borderId="0" xfId="0" applyFont="1"/>
    <xf numFmtId="0" fontId="52" fillId="0" borderId="0" xfId="0" applyFont="1"/>
    <xf numFmtId="0" fontId="18" fillId="0" borderId="0" xfId="0" applyFont="1" applyAlignment="1"/>
    <xf numFmtId="0" fontId="18" fillId="0" borderId="0" xfId="0" applyFont="1" applyBorder="1" applyAlignment="1"/>
    <xf numFmtId="0" fontId="18" fillId="0" borderId="20" xfId="0" applyFont="1" applyBorder="1" applyAlignment="1"/>
    <xf numFmtId="0" fontId="51" fillId="5" borderId="20" xfId="0" applyFont="1" applyFill="1" applyBorder="1" applyAlignment="1"/>
    <xf numFmtId="0" fontId="39" fillId="5" borderId="0" xfId="0" applyFont="1" applyFill="1" applyBorder="1" applyAlignment="1">
      <alignment horizontal="center"/>
    </xf>
    <xf numFmtId="0" fontId="39" fillId="6" borderId="0" xfId="0" applyFont="1" applyFill="1" applyBorder="1" applyAlignment="1">
      <alignment horizontal="center"/>
    </xf>
    <xf numFmtId="0" fontId="39" fillId="7" borderId="0" xfId="0" applyFont="1" applyFill="1" applyBorder="1" applyAlignment="1">
      <alignment horizontal="center"/>
    </xf>
    <xf numFmtId="0" fontId="39" fillId="0" borderId="0" xfId="0" applyFont="1" applyBorder="1" applyAlignment="1">
      <alignment horizontal="center"/>
    </xf>
    <xf numFmtId="0" fontId="39" fillId="8" borderId="0" xfId="0" applyFont="1" applyFill="1" applyBorder="1" applyAlignment="1">
      <alignment horizontal="center"/>
    </xf>
    <xf numFmtId="0" fontId="3" fillId="10" borderId="0" xfId="0" applyFont="1" applyFill="1" applyBorder="1" applyAlignment="1">
      <alignment horizontal="center"/>
    </xf>
    <xf numFmtId="0" fontId="40" fillId="5" borderId="34" xfId="0" applyFont="1" applyFill="1" applyBorder="1" applyAlignment="1">
      <alignment horizontal="center"/>
    </xf>
    <xf numFmtId="0" fontId="40" fillId="5" borderId="0" xfId="0" applyFont="1" applyFill="1" applyBorder="1" applyAlignment="1">
      <alignment horizontal="center"/>
    </xf>
    <xf numFmtId="0" fontId="40" fillId="5" borderId="16" xfId="0" applyFont="1" applyFill="1" applyBorder="1" applyAlignment="1">
      <alignment horizontal="center"/>
    </xf>
    <xf numFmtId="0" fontId="40" fillId="5" borderId="1" xfId="0" applyFont="1" applyFill="1" applyBorder="1" applyAlignment="1">
      <alignment horizontal="center"/>
    </xf>
    <xf numFmtId="0" fontId="40" fillId="5" borderId="20" xfId="0" applyFont="1" applyFill="1" applyBorder="1" applyAlignment="1">
      <alignment horizontal="center"/>
    </xf>
    <xf numFmtId="0" fontId="40" fillId="5" borderId="18" xfId="0" applyFont="1" applyFill="1" applyBorder="1" applyAlignment="1">
      <alignment horizontal="center"/>
    </xf>
    <xf numFmtId="0" fontId="26" fillId="0" borderId="20" xfId="0" applyFont="1" applyBorder="1" applyAlignment="1">
      <alignment horizontal="center"/>
    </xf>
    <xf numFmtId="0" fontId="19" fillId="6" borderId="34" xfId="0" applyFont="1" applyFill="1" applyBorder="1" applyAlignment="1">
      <alignment horizontal="center"/>
    </xf>
    <xf numFmtId="0" fontId="26" fillId="0" borderId="41" xfId="0" applyFont="1" applyBorder="1" applyAlignment="1">
      <alignment horizontal="center"/>
    </xf>
    <xf numFmtId="0" fontId="6" fillId="7" borderId="15" xfId="0" applyFont="1" applyFill="1" applyBorder="1" applyAlignment="1">
      <alignment horizontal="center"/>
    </xf>
    <xf numFmtId="0" fontId="6" fillId="7" borderId="18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26" fillId="6" borderId="15" xfId="0" applyFont="1" applyFill="1" applyBorder="1" applyAlignment="1">
      <alignment horizontal="center"/>
    </xf>
    <xf numFmtId="0" fontId="26" fillId="6" borderId="17" xfId="0" applyFont="1" applyFill="1" applyBorder="1" applyAlignment="1">
      <alignment horizontal="center"/>
    </xf>
    <xf numFmtId="0" fontId="26" fillId="6" borderId="15" xfId="0" applyFont="1" applyFill="1" applyBorder="1" applyAlignment="1">
      <alignment horizontal="center" vertical="center"/>
    </xf>
    <xf numFmtId="0" fontId="40" fillId="5" borderId="15" xfId="0" applyFont="1" applyFill="1" applyBorder="1" applyAlignment="1">
      <alignment horizontal="center"/>
    </xf>
    <xf numFmtId="0" fontId="40" fillId="5" borderId="2" xfId="0" applyFont="1" applyFill="1" applyBorder="1" applyAlignment="1">
      <alignment horizontal="center"/>
    </xf>
    <xf numFmtId="0" fontId="40" fillId="5" borderId="17" xfId="0" applyFont="1" applyFill="1" applyBorder="1" applyAlignment="1">
      <alignment horizontal="center"/>
    </xf>
    <xf numFmtId="0" fontId="26" fillId="6" borderId="0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/>
    </xf>
    <xf numFmtId="0" fontId="28" fillId="5" borderId="17" xfId="0" applyFont="1" applyFill="1" applyBorder="1" applyAlignment="1">
      <alignment horizontal="center"/>
    </xf>
    <xf numFmtId="0" fontId="26" fillId="6" borderId="2" xfId="0" applyFont="1" applyFill="1" applyBorder="1" applyAlignment="1">
      <alignment horizontal="center" vertical="center"/>
    </xf>
    <xf numFmtId="0" fontId="3" fillId="6" borderId="54" xfId="0" applyFont="1" applyFill="1" applyBorder="1"/>
    <xf numFmtId="0" fontId="3" fillId="6" borderId="11" xfId="0" applyFont="1" applyFill="1" applyBorder="1"/>
    <xf numFmtId="16" fontId="3" fillId="6" borderId="11" xfId="0" applyNumberFormat="1" applyFont="1" applyFill="1" applyBorder="1" applyAlignment="1">
      <alignment horizontal="left"/>
    </xf>
    <xf numFmtId="0" fontId="45" fillId="7" borderId="11" xfId="0" applyFont="1" applyFill="1" applyBorder="1"/>
    <xf numFmtId="0" fontId="39" fillId="7" borderId="11" xfId="0" applyFont="1" applyFill="1" applyBorder="1"/>
    <xf numFmtId="0" fontId="39" fillId="8" borderId="13" xfId="0" applyFont="1" applyFill="1" applyBorder="1"/>
    <xf numFmtId="0" fontId="39" fillId="8" borderId="11" xfId="0" applyFont="1" applyFill="1" applyBorder="1"/>
    <xf numFmtId="0" fontId="19" fillId="0" borderId="17" xfId="0" applyFont="1" applyBorder="1" applyAlignment="1">
      <alignment horizontal="center" vertical="center"/>
    </xf>
    <xf numFmtId="0" fontId="45" fillId="7" borderId="30" xfId="0" applyFont="1" applyFill="1" applyBorder="1" applyAlignment="1">
      <alignment horizontal="center"/>
    </xf>
    <xf numFmtId="0" fontId="39" fillId="8" borderId="30" xfId="0" applyFont="1" applyFill="1" applyBorder="1" applyAlignment="1">
      <alignment horizontal="center"/>
    </xf>
    <xf numFmtId="0" fontId="19" fillId="0" borderId="30" xfId="0" applyFont="1" applyBorder="1" applyAlignment="1">
      <alignment horizontal="center" vertical="center"/>
    </xf>
    <xf numFmtId="0" fontId="19" fillId="6" borderId="0" xfId="0" applyFont="1" applyFill="1" applyBorder="1" applyAlignment="1">
      <alignment horizontal="center"/>
    </xf>
    <xf numFmtId="0" fontId="49" fillId="0" borderId="26" xfId="0" applyFont="1" applyBorder="1" applyAlignment="1">
      <alignment horizontal="center" vertical="center"/>
    </xf>
    <xf numFmtId="0" fontId="48" fillId="7" borderId="2" xfId="0" applyFont="1" applyFill="1" applyBorder="1" applyAlignment="1">
      <alignment horizontal="center"/>
    </xf>
    <xf numFmtId="0" fontId="48" fillId="8" borderId="2" xfId="0" applyFont="1" applyFill="1" applyBorder="1" applyAlignment="1">
      <alignment horizontal="center"/>
    </xf>
    <xf numFmtId="0" fontId="37" fillId="8" borderId="2" xfId="0" applyFont="1" applyFill="1" applyBorder="1" applyAlignment="1">
      <alignment horizontal="center"/>
    </xf>
    <xf numFmtId="0" fontId="26" fillId="6" borderId="2" xfId="0" applyFont="1" applyFill="1" applyBorder="1" applyAlignment="1">
      <alignment horizontal="center"/>
    </xf>
    <xf numFmtId="0" fontId="26" fillId="0" borderId="26" xfId="0" applyFont="1" applyBorder="1" applyAlignment="1">
      <alignment horizontal="center"/>
    </xf>
    <xf numFmtId="0" fontId="6" fillId="6" borderId="60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3" fillId="16" borderId="34" xfId="0" applyFont="1" applyFill="1" applyBorder="1" applyAlignment="1">
      <alignment horizontal="center" vertical="center"/>
    </xf>
    <xf numFmtId="0" fontId="27" fillId="7" borderId="0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16" fontId="6" fillId="8" borderId="0" xfId="0" applyNumberFormat="1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/>
    </xf>
    <xf numFmtId="0" fontId="26" fillId="0" borderId="20" xfId="0" applyFont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164" fontId="26" fillId="6" borderId="15" xfId="1" applyFont="1" applyFill="1" applyBorder="1" applyAlignment="1">
      <alignment horizontal="center" vertical="center"/>
    </xf>
    <xf numFmtId="164" fontId="26" fillId="6" borderId="2" xfId="1" applyFont="1" applyFill="1" applyBorder="1" applyAlignment="1">
      <alignment horizontal="center" vertical="center"/>
    </xf>
    <xf numFmtId="164" fontId="26" fillId="6" borderId="20" xfId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26" fillId="0" borderId="15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6" fillId="6" borderId="8" xfId="0" applyFont="1" applyFill="1" applyBorder="1" applyAlignment="1">
      <alignment horizontal="center"/>
    </xf>
    <xf numFmtId="0" fontId="6" fillId="15" borderId="23" xfId="0" applyFont="1" applyFill="1" applyBorder="1" applyAlignment="1">
      <alignment horizontal="center"/>
    </xf>
    <xf numFmtId="0" fontId="6" fillId="13" borderId="23" xfId="0" applyFont="1" applyFill="1" applyBorder="1" applyAlignment="1">
      <alignment horizontal="center"/>
    </xf>
    <xf numFmtId="0" fontId="6" fillId="8" borderId="17" xfId="0" applyFont="1" applyFill="1" applyBorder="1" applyAlignment="1">
      <alignment horizontal="center"/>
    </xf>
    <xf numFmtId="0" fontId="26" fillId="0" borderId="26" xfId="0" applyFont="1" applyBorder="1" applyAlignment="1">
      <alignment horizontal="center" vertical="center"/>
    </xf>
    <xf numFmtId="0" fontId="27" fillId="7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26" fillId="0" borderId="23" xfId="0" applyFont="1" applyBorder="1" applyAlignment="1">
      <alignment horizontal="center"/>
    </xf>
    <xf numFmtId="0" fontId="6" fillId="11" borderId="0" xfId="0" applyFont="1" applyFill="1" applyBorder="1" applyAlignment="1">
      <alignment horizontal="center"/>
    </xf>
    <xf numFmtId="0" fontId="27" fillId="11" borderId="0" xfId="0" applyFont="1" applyFill="1" applyBorder="1" applyAlignment="1">
      <alignment horizontal="center"/>
    </xf>
    <xf numFmtId="0" fontId="27" fillId="8" borderId="0" xfId="0" applyFont="1" applyFill="1" applyBorder="1" applyAlignment="1">
      <alignment horizontal="center"/>
    </xf>
    <xf numFmtId="0" fontId="26" fillId="0" borderId="17" xfId="0" applyFont="1" applyBorder="1" applyAlignment="1">
      <alignment horizontal="center"/>
    </xf>
    <xf numFmtId="0" fontId="6" fillId="7" borderId="0" xfId="0" applyFont="1" applyFill="1" applyBorder="1" applyAlignment="1">
      <alignment horizontal="center"/>
    </xf>
    <xf numFmtId="0" fontId="2" fillId="0" borderId="13" xfId="0" applyFont="1" applyBorder="1" applyAlignment="1">
      <alignment horizontal="center" vertical="center" textRotation="90"/>
    </xf>
    <xf numFmtId="0" fontId="2" fillId="0" borderId="7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textRotation="90"/>
    </xf>
    <xf numFmtId="0" fontId="2" fillId="0" borderId="0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textRotation="90"/>
    </xf>
    <xf numFmtId="0" fontId="38" fillId="2" borderId="15" xfId="0" applyFont="1" applyFill="1" applyBorder="1" applyAlignment="1">
      <alignment horizontal="center"/>
    </xf>
    <xf numFmtId="0" fontId="38" fillId="2" borderId="34" xfId="0" applyFont="1" applyFill="1" applyBorder="1" applyAlignment="1">
      <alignment horizontal="center"/>
    </xf>
    <xf numFmtId="0" fontId="38" fillId="2" borderId="2" xfId="0" applyFont="1" applyFill="1" applyBorder="1" applyAlignment="1">
      <alignment horizontal="center"/>
    </xf>
    <xf numFmtId="0" fontId="38" fillId="2" borderId="0" xfId="0" applyFont="1" applyFill="1" applyBorder="1" applyAlignment="1">
      <alignment horizontal="center"/>
    </xf>
    <xf numFmtId="0" fontId="34" fillId="2" borderId="34" xfId="0" applyFont="1" applyFill="1" applyBorder="1" applyAlignment="1">
      <alignment horizontal="center"/>
    </xf>
    <xf numFmtId="0" fontId="34" fillId="2" borderId="16" xfId="0" applyFont="1" applyFill="1" applyBorder="1" applyAlignment="1">
      <alignment horizontal="center"/>
    </xf>
    <xf numFmtId="0" fontId="34" fillId="2" borderId="0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/>
    </xf>
    <xf numFmtId="0" fontId="7" fillId="0" borderId="15" xfId="0" applyFont="1" applyBorder="1" applyAlignment="1">
      <alignment horizontal="center" vertical="center" textRotation="90"/>
    </xf>
    <xf numFmtId="0" fontId="7" fillId="0" borderId="34" xfId="0" applyFont="1" applyBorder="1" applyAlignment="1">
      <alignment horizontal="center" vertical="center" textRotation="90"/>
    </xf>
    <xf numFmtId="0" fontId="7" fillId="0" borderId="16" xfId="0" applyFont="1" applyBorder="1" applyAlignment="1">
      <alignment horizontal="center" vertical="center" textRotation="90"/>
    </xf>
    <xf numFmtId="0" fontId="7" fillId="0" borderId="2" xfId="0" applyFont="1" applyBorder="1" applyAlignment="1">
      <alignment horizontal="center" vertical="center" textRotation="90"/>
    </xf>
    <xf numFmtId="0" fontId="7" fillId="0" borderId="0" xfId="0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 textRotation="90"/>
    </xf>
    <xf numFmtId="0" fontId="7" fillId="0" borderId="20" xfId="0" applyFont="1" applyBorder="1" applyAlignment="1">
      <alignment horizontal="center" vertical="center" textRotation="90"/>
    </xf>
    <xf numFmtId="0" fontId="7" fillId="0" borderId="18" xfId="0" applyFont="1" applyBorder="1" applyAlignment="1">
      <alignment horizontal="center" vertical="center" textRotation="90"/>
    </xf>
    <xf numFmtId="0" fontId="20" fillId="0" borderId="0" xfId="0" applyFont="1" applyAlignment="1">
      <alignment horizontal="center"/>
    </xf>
    <xf numFmtId="0" fontId="21" fillId="5" borderId="20" xfId="0" applyFont="1" applyFill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6" fillId="0" borderId="41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26" fillId="0" borderId="19" xfId="0" applyFont="1" applyBorder="1" applyAlignment="1">
      <alignment horizontal="center"/>
    </xf>
    <xf numFmtId="0" fontId="26" fillId="6" borderId="15" xfId="0" applyFont="1" applyFill="1" applyBorder="1" applyAlignment="1">
      <alignment horizontal="center"/>
    </xf>
    <xf numFmtId="0" fontId="26" fillId="6" borderId="34" xfId="0" applyFont="1" applyFill="1" applyBorder="1" applyAlignment="1">
      <alignment horizontal="center"/>
    </xf>
    <xf numFmtId="0" fontId="26" fillId="6" borderId="16" xfId="0" applyFont="1" applyFill="1" applyBorder="1" applyAlignment="1">
      <alignment horizontal="center"/>
    </xf>
    <xf numFmtId="0" fontId="26" fillId="6" borderId="17" xfId="0" applyFont="1" applyFill="1" applyBorder="1" applyAlignment="1">
      <alignment horizontal="center"/>
    </xf>
    <xf numFmtId="0" fontId="26" fillId="6" borderId="20" xfId="0" applyFont="1" applyFill="1" applyBorder="1" applyAlignment="1">
      <alignment horizontal="center"/>
    </xf>
    <xf numFmtId="0" fontId="26" fillId="6" borderId="18" xfId="0" applyFont="1" applyFill="1" applyBorder="1" applyAlignment="1">
      <alignment horizontal="center"/>
    </xf>
    <xf numFmtId="0" fontId="26" fillId="7" borderId="15" xfId="0" applyFont="1" applyFill="1" applyBorder="1" applyAlignment="1">
      <alignment horizontal="center"/>
    </xf>
    <xf numFmtId="0" fontId="26" fillId="7" borderId="34" xfId="0" applyFont="1" applyFill="1" applyBorder="1" applyAlignment="1">
      <alignment horizontal="center"/>
    </xf>
    <xf numFmtId="0" fontId="26" fillId="7" borderId="16" xfId="0" applyFont="1" applyFill="1" applyBorder="1" applyAlignment="1">
      <alignment horizontal="center"/>
    </xf>
    <xf numFmtId="0" fontId="26" fillId="7" borderId="17" xfId="0" applyFont="1" applyFill="1" applyBorder="1" applyAlignment="1">
      <alignment horizontal="center"/>
    </xf>
    <xf numFmtId="0" fontId="26" fillId="7" borderId="20" xfId="0" applyFont="1" applyFill="1" applyBorder="1" applyAlignment="1">
      <alignment horizontal="center"/>
    </xf>
    <xf numFmtId="0" fontId="26" fillId="7" borderId="18" xfId="0" applyFont="1" applyFill="1" applyBorder="1" applyAlignment="1">
      <alignment horizontal="center"/>
    </xf>
    <xf numFmtId="0" fontId="26" fillId="8" borderId="15" xfId="0" applyFont="1" applyFill="1" applyBorder="1" applyAlignment="1">
      <alignment horizontal="center"/>
    </xf>
    <xf numFmtId="0" fontId="26" fillId="8" borderId="34" xfId="0" applyFont="1" applyFill="1" applyBorder="1" applyAlignment="1">
      <alignment horizontal="center"/>
    </xf>
    <xf numFmtId="0" fontId="26" fillId="8" borderId="16" xfId="0" applyFont="1" applyFill="1" applyBorder="1" applyAlignment="1">
      <alignment horizontal="center"/>
    </xf>
    <xf numFmtId="0" fontId="26" fillId="8" borderId="17" xfId="0" applyFont="1" applyFill="1" applyBorder="1" applyAlignment="1">
      <alignment horizontal="center"/>
    </xf>
    <xf numFmtId="0" fontId="26" fillId="8" borderId="20" xfId="0" applyFont="1" applyFill="1" applyBorder="1" applyAlignment="1">
      <alignment horizontal="center"/>
    </xf>
    <xf numFmtId="0" fontId="26" fillId="8" borderId="18" xfId="0" applyFont="1" applyFill="1" applyBorder="1" applyAlignment="1">
      <alignment horizontal="center"/>
    </xf>
    <xf numFmtId="0" fontId="26" fillId="9" borderId="41" xfId="0" applyFont="1" applyFill="1" applyBorder="1" applyAlignment="1">
      <alignment horizontal="center"/>
    </xf>
    <xf numFmtId="0" fontId="26" fillId="9" borderId="14" xfId="0" applyFont="1" applyFill="1" applyBorder="1" applyAlignment="1">
      <alignment horizontal="center"/>
    </xf>
    <xf numFmtId="0" fontId="26" fillId="9" borderId="19" xfId="0" applyFont="1" applyFill="1" applyBorder="1" applyAlignment="1">
      <alignment horizontal="center"/>
    </xf>
    <xf numFmtId="0" fontId="6" fillId="9" borderId="22" xfId="0" applyFont="1" applyFill="1" applyBorder="1" applyAlignment="1">
      <alignment horizontal="center"/>
    </xf>
    <xf numFmtId="0" fontId="6" fillId="9" borderId="14" xfId="0" applyFont="1" applyFill="1" applyBorder="1" applyAlignment="1">
      <alignment horizontal="center"/>
    </xf>
    <xf numFmtId="0" fontId="6" fillId="9" borderId="19" xfId="0" applyFont="1" applyFill="1" applyBorder="1" applyAlignment="1">
      <alignment horizontal="center"/>
    </xf>
    <xf numFmtId="0" fontId="40" fillId="15" borderId="23" xfId="0" applyFont="1" applyFill="1" applyBorder="1" applyAlignment="1">
      <alignment horizontal="center"/>
    </xf>
    <xf numFmtId="0" fontId="40" fillId="15" borderId="26" xfId="0" applyFont="1" applyFill="1" applyBorder="1" applyAlignment="1">
      <alignment horizontal="center"/>
    </xf>
    <xf numFmtId="0" fontId="40" fillId="15" borderId="24" xfId="0" applyFont="1" applyFill="1" applyBorder="1" applyAlignment="1">
      <alignment horizontal="center"/>
    </xf>
    <xf numFmtId="0" fontId="38" fillId="2" borderId="41" xfId="0" applyFont="1" applyFill="1" applyBorder="1" applyAlignment="1">
      <alignment horizontal="center"/>
    </xf>
    <xf numFmtId="0" fontId="38" fillId="2" borderId="14" xfId="0" applyFont="1" applyFill="1" applyBorder="1" applyAlignment="1">
      <alignment horizontal="center"/>
    </xf>
    <xf numFmtId="0" fontId="38" fillId="2" borderId="9" xfId="0" applyFont="1" applyFill="1" applyBorder="1" applyAlignment="1">
      <alignment horizontal="center"/>
    </xf>
    <xf numFmtId="0" fontId="40" fillId="13" borderId="23" xfId="0" applyFont="1" applyFill="1" applyBorder="1" applyAlignment="1">
      <alignment horizontal="center"/>
    </xf>
    <xf numFmtId="0" fontId="40" fillId="13" borderId="26" xfId="0" applyFont="1" applyFill="1" applyBorder="1" applyAlignment="1">
      <alignment horizontal="center"/>
    </xf>
    <xf numFmtId="0" fontId="40" fillId="13" borderId="24" xfId="0" applyFont="1" applyFill="1" applyBorder="1" applyAlignment="1">
      <alignment horizontal="center"/>
    </xf>
    <xf numFmtId="0" fontId="26" fillId="0" borderId="41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6" fillId="9" borderId="41" xfId="0" applyFont="1" applyFill="1" applyBorder="1" applyAlignment="1">
      <alignment horizontal="center"/>
    </xf>
    <xf numFmtId="0" fontId="28" fillId="5" borderId="2" xfId="0" applyFont="1" applyFill="1" applyBorder="1" applyAlignment="1">
      <alignment horizontal="center"/>
    </xf>
    <xf numFmtId="0" fontId="28" fillId="5" borderId="17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22" fillId="0" borderId="89" xfId="0" applyFont="1" applyBorder="1" applyAlignment="1">
      <alignment horizontal="center" vertical="center"/>
    </xf>
    <xf numFmtId="0" fontId="22" fillId="0" borderId="93" xfId="0" applyFont="1" applyBorder="1" applyAlignment="1">
      <alignment horizontal="center" vertical="center"/>
    </xf>
    <xf numFmtId="0" fontId="22" fillId="0" borderId="9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3" fillId="5" borderId="77" xfId="0" applyFont="1" applyFill="1" applyBorder="1" applyAlignment="1">
      <alignment horizontal="center" vertical="center"/>
    </xf>
    <xf numFmtId="0" fontId="23" fillId="5" borderId="78" xfId="0" applyFont="1" applyFill="1" applyBorder="1" applyAlignment="1">
      <alignment horizontal="center" vertical="center"/>
    </xf>
    <xf numFmtId="0" fontId="23" fillId="5" borderId="84" xfId="0" applyFont="1" applyFill="1" applyBorder="1" applyAlignment="1">
      <alignment horizontal="center" vertical="center"/>
    </xf>
    <xf numFmtId="0" fontId="22" fillId="0" borderId="82" xfId="0" applyFont="1" applyBorder="1" applyAlignment="1">
      <alignment horizontal="center" vertical="center"/>
    </xf>
    <xf numFmtId="0" fontId="22" fillId="0" borderId="94" xfId="0" applyFont="1" applyBorder="1" applyAlignment="1">
      <alignment horizontal="center" vertical="center"/>
    </xf>
    <xf numFmtId="0" fontId="22" fillId="0" borderId="83" xfId="0" applyFont="1" applyBorder="1" applyAlignment="1">
      <alignment horizontal="center" vertical="center"/>
    </xf>
    <xf numFmtId="0" fontId="20" fillId="0" borderId="76" xfId="0" applyFont="1" applyBorder="1" applyAlignment="1">
      <alignment horizontal="center"/>
    </xf>
    <xf numFmtId="0" fontId="26" fillId="6" borderId="15" xfId="0" applyFont="1" applyFill="1" applyBorder="1" applyAlignment="1">
      <alignment horizontal="center" vertical="center"/>
    </xf>
    <xf numFmtId="0" fontId="26" fillId="6" borderId="34" xfId="0" applyFont="1" applyFill="1" applyBorder="1" applyAlignment="1">
      <alignment horizontal="center" vertical="center"/>
    </xf>
    <xf numFmtId="0" fontId="26" fillId="6" borderId="16" xfId="0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 vertical="center"/>
    </xf>
    <xf numFmtId="0" fontId="26" fillId="6" borderId="20" xfId="0" applyFont="1" applyFill="1" applyBorder="1" applyAlignment="1">
      <alignment horizontal="center" vertical="center"/>
    </xf>
    <xf numFmtId="0" fontId="26" fillId="6" borderId="18" xfId="0" applyFont="1" applyFill="1" applyBorder="1" applyAlignment="1">
      <alignment horizontal="center" vertical="center"/>
    </xf>
    <xf numFmtId="0" fontId="26" fillId="7" borderId="15" xfId="0" applyFont="1" applyFill="1" applyBorder="1" applyAlignment="1">
      <alignment horizontal="center" vertical="center"/>
    </xf>
    <xf numFmtId="0" fontId="26" fillId="7" borderId="34" xfId="0" applyFont="1" applyFill="1" applyBorder="1" applyAlignment="1">
      <alignment horizontal="center" vertical="center"/>
    </xf>
    <xf numFmtId="0" fontId="26" fillId="7" borderId="16" xfId="0" applyFont="1" applyFill="1" applyBorder="1" applyAlignment="1">
      <alignment horizontal="center" vertical="center"/>
    </xf>
    <xf numFmtId="0" fontId="26" fillId="7" borderId="17" xfId="0" applyFont="1" applyFill="1" applyBorder="1" applyAlignment="1">
      <alignment horizontal="center" vertical="center"/>
    </xf>
    <xf numFmtId="0" fontId="26" fillId="7" borderId="20" xfId="0" applyFont="1" applyFill="1" applyBorder="1" applyAlignment="1">
      <alignment horizontal="center" vertical="center"/>
    </xf>
    <xf numFmtId="0" fontId="26" fillId="7" borderId="18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6" fillId="8" borderId="34" xfId="0" applyFont="1" applyFill="1" applyBorder="1" applyAlignment="1">
      <alignment horizontal="center" vertical="center"/>
    </xf>
    <xf numFmtId="0" fontId="26" fillId="8" borderId="17" xfId="0" applyFont="1" applyFill="1" applyBorder="1" applyAlignment="1">
      <alignment horizontal="center" vertical="center"/>
    </xf>
    <xf numFmtId="0" fontId="26" fillId="8" borderId="20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40" fillId="16" borderId="23" xfId="0" applyFont="1" applyFill="1" applyBorder="1" applyAlignment="1">
      <alignment horizontal="center"/>
    </xf>
    <xf numFmtId="0" fontId="40" fillId="16" borderId="26" xfId="0" applyFont="1" applyFill="1" applyBorder="1" applyAlignment="1">
      <alignment horizontal="center"/>
    </xf>
    <xf numFmtId="0" fontId="40" fillId="16" borderId="24" xfId="0" applyFont="1" applyFill="1" applyBorder="1" applyAlignment="1">
      <alignment horizontal="center"/>
    </xf>
    <xf numFmtId="164" fontId="26" fillId="6" borderId="41" xfId="1" applyFont="1" applyFill="1" applyBorder="1" applyAlignment="1">
      <alignment horizontal="center" vertical="center"/>
    </xf>
    <xf numFmtId="164" fontId="26" fillId="6" borderId="14" xfId="1" applyFont="1" applyFill="1" applyBorder="1" applyAlignment="1">
      <alignment horizontal="center" vertical="center"/>
    </xf>
    <xf numFmtId="164" fontId="26" fillId="6" borderId="19" xfId="1" applyFont="1" applyFill="1" applyBorder="1" applyAlignment="1">
      <alignment horizontal="center" vertical="center"/>
    </xf>
    <xf numFmtId="0" fontId="40" fillId="5" borderId="15" xfId="0" applyFont="1" applyFill="1" applyBorder="1" applyAlignment="1">
      <alignment horizontal="center"/>
    </xf>
    <xf numFmtId="0" fontId="40" fillId="5" borderId="34" xfId="0" applyFont="1" applyFill="1" applyBorder="1" applyAlignment="1">
      <alignment horizontal="center"/>
    </xf>
    <xf numFmtId="0" fontId="40" fillId="5" borderId="16" xfId="0" applyFont="1" applyFill="1" applyBorder="1" applyAlignment="1">
      <alignment horizontal="center"/>
    </xf>
    <xf numFmtId="0" fontId="40" fillId="5" borderId="2" xfId="0" applyFont="1" applyFill="1" applyBorder="1" applyAlignment="1">
      <alignment horizontal="center"/>
    </xf>
    <xf numFmtId="0" fontId="40" fillId="5" borderId="0" xfId="0" applyFont="1" applyFill="1" applyBorder="1" applyAlignment="1">
      <alignment horizontal="center"/>
    </xf>
    <xf numFmtId="0" fontId="40" fillId="5" borderId="1" xfId="0" applyFont="1" applyFill="1" applyBorder="1" applyAlignment="1">
      <alignment horizontal="center"/>
    </xf>
    <xf numFmtId="0" fontId="40" fillId="5" borderId="17" xfId="0" applyFont="1" applyFill="1" applyBorder="1" applyAlignment="1">
      <alignment horizontal="center"/>
    </xf>
    <xf numFmtId="0" fontId="40" fillId="5" borderId="20" xfId="0" applyFont="1" applyFill="1" applyBorder="1" applyAlignment="1">
      <alignment horizontal="center"/>
    </xf>
    <xf numFmtId="0" fontId="40" fillId="5" borderId="18" xfId="0" applyFont="1" applyFill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38" fillId="2" borderId="15" xfId="0" applyFont="1" applyFill="1" applyBorder="1" applyAlignment="1">
      <alignment horizontal="center"/>
    </xf>
    <xf numFmtId="0" fontId="38" fillId="2" borderId="34" xfId="0" applyFont="1" applyFill="1" applyBorder="1" applyAlignment="1">
      <alignment horizontal="center"/>
    </xf>
    <xf numFmtId="0" fontId="38" fillId="2" borderId="2" xfId="0" applyFont="1" applyFill="1" applyBorder="1" applyAlignment="1">
      <alignment horizontal="center"/>
    </xf>
    <xf numFmtId="0" fontId="38" fillId="2" borderId="0" xfId="0" applyFont="1" applyFill="1" applyBorder="1" applyAlignment="1">
      <alignment horizontal="center"/>
    </xf>
    <xf numFmtId="0" fontId="34" fillId="2" borderId="34" xfId="0" applyFont="1" applyFill="1" applyBorder="1" applyAlignment="1">
      <alignment horizontal="center"/>
    </xf>
    <xf numFmtId="0" fontId="34" fillId="2" borderId="16" xfId="0" applyFont="1" applyFill="1" applyBorder="1" applyAlignment="1">
      <alignment horizontal="center"/>
    </xf>
    <xf numFmtId="0" fontId="34" fillId="2" borderId="0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/>
    </xf>
    <xf numFmtId="0" fontId="3" fillId="6" borderId="41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7" fillId="0" borderId="15" xfId="0" applyFont="1" applyBorder="1" applyAlignment="1">
      <alignment horizontal="center" vertical="center" textRotation="90"/>
    </xf>
    <xf numFmtId="0" fontId="7" fillId="0" borderId="34" xfId="0" applyFont="1" applyBorder="1" applyAlignment="1">
      <alignment horizontal="center" vertical="center" textRotation="90"/>
    </xf>
    <xf numFmtId="0" fontId="7" fillId="0" borderId="16" xfId="0" applyFont="1" applyBorder="1" applyAlignment="1">
      <alignment horizontal="center" vertical="center" textRotation="90"/>
    </xf>
    <xf numFmtId="0" fontId="7" fillId="0" borderId="2" xfId="0" applyFont="1" applyBorder="1" applyAlignment="1">
      <alignment horizontal="center" vertical="center" textRotation="90"/>
    </xf>
    <xf numFmtId="0" fontId="7" fillId="0" borderId="0" xfId="0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 textRotation="90"/>
    </xf>
    <xf numFmtId="0" fontId="7" fillId="0" borderId="20" xfId="0" applyFont="1" applyBorder="1" applyAlignment="1">
      <alignment horizontal="center" vertical="center" textRotation="90"/>
    </xf>
    <xf numFmtId="0" fontId="7" fillId="0" borderId="18" xfId="0" applyFont="1" applyBorder="1" applyAlignment="1">
      <alignment horizontal="center" vertical="center" textRotation="90"/>
    </xf>
    <xf numFmtId="0" fontId="29" fillId="7" borderId="41" xfId="0" applyFont="1" applyFill="1" applyBorder="1" applyAlignment="1">
      <alignment horizontal="center"/>
    </xf>
    <xf numFmtId="0" fontId="29" fillId="7" borderId="14" xfId="0" applyFont="1" applyFill="1" applyBorder="1" applyAlignment="1">
      <alignment horizontal="center"/>
    </xf>
    <xf numFmtId="0" fontId="29" fillId="7" borderId="19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6" borderId="34" xfId="0" applyFont="1" applyFill="1" applyBorder="1" applyAlignment="1">
      <alignment horizontal="center"/>
    </xf>
    <xf numFmtId="0" fontId="6" fillId="6" borderId="16" xfId="0" applyFont="1" applyFill="1" applyBorder="1" applyAlignment="1">
      <alignment horizontal="center"/>
    </xf>
    <xf numFmtId="0" fontId="6" fillId="6" borderId="17" xfId="0" applyFont="1" applyFill="1" applyBorder="1" applyAlignment="1">
      <alignment horizontal="center"/>
    </xf>
    <xf numFmtId="0" fontId="6" fillId="6" borderId="20" xfId="0" applyFont="1" applyFill="1" applyBorder="1" applyAlignment="1">
      <alignment horizontal="center"/>
    </xf>
    <xf numFmtId="0" fontId="6" fillId="6" borderId="18" xfId="0" applyFont="1" applyFill="1" applyBorder="1" applyAlignment="1">
      <alignment horizontal="center"/>
    </xf>
    <xf numFmtId="0" fontId="6" fillId="7" borderId="15" xfId="0" applyFont="1" applyFill="1" applyBorder="1" applyAlignment="1">
      <alignment horizontal="center"/>
    </xf>
    <xf numFmtId="0" fontId="6" fillId="7" borderId="34" xfId="0" applyFont="1" applyFill="1" applyBorder="1" applyAlignment="1">
      <alignment horizontal="center"/>
    </xf>
    <xf numFmtId="0" fontId="6" fillId="7" borderId="1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20" xfId="0" applyFont="1" applyFill="1" applyBorder="1" applyAlignment="1">
      <alignment horizontal="center"/>
    </xf>
    <xf numFmtId="0" fontId="6" fillId="7" borderId="18" xfId="0" applyFont="1" applyFill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0" fontId="10" fillId="5" borderId="20" xfId="0" applyFont="1" applyFill="1" applyBorder="1" applyAlignment="1">
      <alignment horizontal="center"/>
    </xf>
    <xf numFmtId="0" fontId="12" fillId="5" borderId="61" xfId="0" applyFont="1" applyFill="1" applyBorder="1" applyAlignment="1">
      <alignment horizontal="center"/>
    </xf>
    <xf numFmtId="0" fontId="12" fillId="5" borderId="21" xfId="0" applyFont="1" applyFill="1" applyBorder="1" applyAlignment="1">
      <alignment horizontal="center"/>
    </xf>
    <xf numFmtId="0" fontId="12" fillId="5" borderId="22" xfId="0" applyFont="1" applyFill="1" applyBorder="1" applyAlignment="1">
      <alignment horizontal="center"/>
    </xf>
    <xf numFmtId="0" fontId="17" fillId="0" borderId="15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6" fillId="5" borderId="54" xfId="0" applyFont="1" applyFill="1" applyBorder="1" applyAlignment="1">
      <alignment horizontal="center" vertical="center"/>
    </xf>
    <xf numFmtId="0" fontId="16" fillId="5" borderId="60" xfId="0" applyFont="1" applyFill="1" applyBorder="1" applyAlignment="1">
      <alignment horizontal="center" vertical="center"/>
    </xf>
    <xf numFmtId="0" fontId="16" fillId="5" borderId="55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6" fillId="5" borderId="35" xfId="0" applyFont="1" applyFill="1" applyBorder="1" applyAlignment="1">
      <alignment horizontal="center" vertical="center"/>
    </xf>
    <xf numFmtId="0" fontId="16" fillId="5" borderId="65" xfId="0" applyFont="1" applyFill="1" applyBorder="1" applyAlignment="1">
      <alignment horizontal="center" vertical="center"/>
    </xf>
    <xf numFmtId="0" fontId="16" fillId="5" borderId="64" xfId="0" applyFont="1" applyFill="1" applyBorder="1" applyAlignment="1">
      <alignment horizontal="center" vertical="center"/>
    </xf>
    <xf numFmtId="0" fontId="16" fillId="5" borderId="67" xfId="0" applyFont="1" applyFill="1" applyBorder="1" applyAlignment="1">
      <alignment horizontal="center" vertical="center"/>
    </xf>
    <xf numFmtId="0" fontId="16" fillId="5" borderId="23" xfId="0" applyFont="1" applyFill="1" applyBorder="1" applyAlignment="1">
      <alignment horizontal="center" vertical="center"/>
    </xf>
    <xf numFmtId="0" fontId="16" fillId="5" borderId="26" xfId="0" applyFont="1" applyFill="1" applyBorder="1" applyAlignment="1">
      <alignment horizontal="center" vertical="center"/>
    </xf>
    <xf numFmtId="0" fontId="16" fillId="5" borderId="24" xfId="0" applyFont="1" applyFill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5" borderId="40" xfId="0" applyFont="1" applyFill="1" applyBorder="1" applyAlignment="1">
      <alignment horizontal="center" vertical="center"/>
    </xf>
    <xf numFmtId="0" fontId="16" fillId="5" borderId="81" xfId="0" applyFont="1" applyFill="1" applyBorder="1" applyAlignment="1">
      <alignment horizontal="center" vertical="center"/>
    </xf>
    <xf numFmtId="0" fontId="16" fillId="5" borderId="71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center" textRotation="90"/>
    </xf>
    <xf numFmtId="0" fontId="5" fillId="0" borderId="36" xfId="0" applyFont="1" applyBorder="1" applyAlignment="1">
      <alignment horizontal="center" vertical="center" textRotation="90"/>
    </xf>
    <xf numFmtId="0" fontId="5" fillId="0" borderId="27" xfId="0" applyFont="1" applyBorder="1" applyAlignment="1">
      <alignment horizontal="center" vertical="center" textRotation="90"/>
    </xf>
    <xf numFmtId="0" fontId="52" fillId="0" borderId="0" xfId="0" applyFont="1" applyAlignment="1">
      <alignment horizontal="center"/>
    </xf>
    <xf numFmtId="0" fontId="38" fillId="7" borderId="16" xfId="0" applyFont="1" applyFill="1" applyBorder="1" applyAlignment="1">
      <alignment horizontal="center"/>
    </xf>
    <xf numFmtId="0" fontId="38" fillId="7" borderId="1" xfId="0" applyFont="1" applyFill="1" applyBorder="1" applyAlignment="1">
      <alignment horizontal="center"/>
    </xf>
    <xf numFmtId="0" fontId="38" fillId="7" borderId="18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53" fillId="5" borderId="20" xfId="0" applyFont="1" applyFill="1" applyBorder="1" applyAlignment="1">
      <alignment horizontal="center"/>
    </xf>
    <xf numFmtId="0" fontId="19" fillId="6" borderId="34" xfId="0" applyFont="1" applyFill="1" applyBorder="1" applyAlignment="1">
      <alignment horizontal="center"/>
    </xf>
    <xf numFmtId="0" fontId="19" fillId="6" borderId="16" xfId="0" applyFont="1" applyFill="1" applyBorder="1" applyAlignment="1">
      <alignment horizontal="center"/>
    </xf>
    <xf numFmtId="0" fontId="19" fillId="6" borderId="20" xfId="0" applyFont="1" applyFill="1" applyBorder="1" applyAlignment="1">
      <alignment horizontal="center"/>
    </xf>
    <xf numFmtId="0" fontId="19" fillId="6" borderId="18" xfId="0" applyFont="1" applyFill="1" applyBorder="1" applyAlignment="1">
      <alignment horizontal="center"/>
    </xf>
    <xf numFmtId="0" fontId="19" fillId="7" borderId="15" xfId="0" applyFont="1" applyFill="1" applyBorder="1" applyAlignment="1">
      <alignment horizontal="center"/>
    </xf>
    <xf numFmtId="0" fontId="19" fillId="7" borderId="34" xfId="0" applyFont="1" applyFill="1" applyBorder="1" applyAlignment="1">
      <alignment horizontal="center"/>
    </xf>
    <xf numFmtId="0" fontId="19" fillId="7" borderId="16" xfId="0" applyFont="1" applyFill="1" applyBorder="1" applyAlignment="1">
      <alignment horizontal="center"/>
    </xf>
    <xf numFmtId="0" fontId="19" fillId="7" borderId="17" xfId="0" applyFont="1" applyFill="1" applyBorder="1" applyAlignment="1">
      <alignment horizontal="center"/>
    </xf>
    <xf numFmtId="0" fontId="19" fillId="7" borderId="20" xfId="0" applyFont="1" applyFill="1" applyBorder="1" applyAlignment="1">
      <alignment horizontal="center"/>
    </xf>
    <xf numFmtId="0" fontId="19" fillId="7" borderId="18" xfId="0" applyFont="1" applyFill="1" applyBorder="1" applyAlignment="1">
      <alignment horizontal="center"/>
    </xf>
    <xf numFmtId="0" fontId="19" fillId="8" borderId="15" xfId="0" applyFont="1" applyFill="1" applyBorder="1" applyAlignment="1">
      <alignment horizontal="center"/>
    </xf>
    <xf numFmtId="0" fontId="19" fillId="8" borderId="34" xfId="0" applyFont="1" applyFill="1" applyBorder="1" applyAlignment="1">
      <alignment horizontal="center"/>
    </xf>
    <xf numFmtId="0" fontId="19" fillId="8" borderId="17" xfId="0" applyFont="1" applyFill="1" applyBorder="1" applyAlignment="1">
      <alignment horizontal="center"/>
    </xf>
    <xf numFmtId="0" fontId="19" fillId="8" borderId="20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 textRotation="90"/>
    </xf>
    <xf numFmtId="0" fontId="2" fillId="0" borderId="0" xfId="0" applyFont="1" applyBorder="1" applyAlignment="1">
      <alignment horizontal="center" vertical="center" textRotation="90"/>
    </xf>
    <xf numFmtId="0" fontId="2" fillId="0" borderId="29" xfId="0" applyFont="1" applyBorder="1" applyAlignment="1">
      <alignment horizontal="center" vertical="center" textRotation="90"/>
    </xf>
    <xf numFmtId="0" fontId="52" fillId="0" borderId="20" xfId="0" applyFont="1" applyBorder="1" applyAlignment="1">
      <alignment horizontal="center"/>
    </xf>
    <xf numFmtId="0" fontId="26" fillId="8" borderId="16" xfId="0" applyFont="1" applyFill="1" applyBorder="1" applyAlignment="1">
      <alignment horizontal="center" vertical="center"/>
    </xf>
    <xf numFmtId="0" fontId="26" fillId="8" borderId="18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textRotation="90"/>
    </xf>
    <xf numFmtId="0" fontId="40" fillId="16" borderId="41" xfId="0" applyFont="1" applyFill="1" applyBorder="1" applyAlignment="1">
      <alignment horizontal="center"/>
    </xf>
    <xf numFmtId="0" fontId="40" fillId="16" borderId="14" xfId="0" applyFont="1" applyFill="1" applyBorder="1" applyAlignment="1">
      <alignment horizontal="center"/>
    </xf>
    <xf numFmtId="0" fontId="40" fillId="16" borderId="19" xfId="0" applyFont="1" applyFill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20" fillId="0" borderId="0" xfId="0" applyFont="1" applyBorder="1" applyAlignment="1">
      <alignment horizontal="center" vertical="center"/>
    </xf>
    <xf numFmtId="0" fontId="51" fillId="5" borderId="20" xfId="0" applyFont="1" applyFill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2" fillId="0" borderId="18" xfId="0" applyFont="1" applyBorder="1" applyAlignment="1">
      <alignment horizontal="center" vertical="center" textRotation="90"/>
    </xf>
    <xf numFmtId="0" fontId="26" fillId="6" borderId="41" xfId="0" applyFont="1" applyFill="1" applyBorder="1" applyAlignment="1">
      <alignment horizontal="center" vertical="center"/>
    </xf>
    <xf numFmtId="0" fontId="26" fillId="6" borderId="14" xfId="0" applyFont="1" applyFill="1" applyBorder="1" applyAlignment="1">
      <alignment horizontal="center" vertical="center"/>
    </xf>
    <xf numFmtId="0" fontId="26" fillId="6" borderId="19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0" fontId="26" fillId="0" borderId="20" xfId="0" applyFont="1" applyBorder="1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colors>
    <mruColors>
      <color rgb="FF91CF4D"/>
      <color rgb="FF00FFFF"/>
      <color rgb="FF669900"/>
      <color rgb="FF31A028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509"/>
  <sheetViews>
    <sheetView tabSelected="1" topLeftCell="A303" zoomScale="82" zoomScaleNormal="82" workbookViewId="0">
      <selection activeCell="S15" sqref="S15"/>
    </sheetView>
  </sheetViews>
  <sheetFormatPr baseColWidth="10" defaultRowHeight="15"/>
  <cols>
    <col min="1" max="1" width="6.28515625" customWidth="1"/>
    <col min="2" max="2" width="41.5703125" customWidth="1"/>
    <col min="3" max="3" width="8.5703125" customWidth="1"/>
    <col min="4" max="5" width="8.42578125" customWidth="1"/>
    <col min="6" max="6" width="9.28515625" customWidth="1"/>
    <col min="7" max="7" width="8.5703125" customWidth="1"/>
    <col min="8" max="8" width="9" customWidth="1"/>
    <col min="9" max="9" width="11.28515625" customWidth="1"/>
    <col min="10" max="11" width="8.28515625" customWidth="1"/>
    <col min="12" max="12" width="8.140625" customWidth="1"/>
    <col min="13" max="13" width="8.28515625" customWidth="1"/>
    <col min="14" max="14" width="9.42578125" customWidth="1"/>
    <col min="15" max="15" width="8.85546875" customWidth="1"/>
    <col min="16" max="16" width="9.28515625" customWidth="1"/>
    <col min="17" max="17" width="10.5703125" customWidth="1"/>
    <col min="18" max="18" width="12.5703125" customWidth="1"/>
    <col min="19" max="19" width="13.5703125" customWidth="1"/>
    <col min="22" max="22" width="10.85546875" customWidth="1"/>
    <col min="23" max="23" width="33.5703125" customWidth="1"/>
  </cols>
  <sheetData>
    <row r="1" spans="2:39" ht="16.5" customHeight="1"/>
    <row r="2" spans="2:39" ht="19.5" thickBot="1">
      <c r="B2" s="863" t="s">
        <v>4</v>
      </c>
      <c r="C2" s="863"/>
      <c r="D2" s="863"/>
      <c r="E2" s="863"/>
      <c r="F2" s="863"/>
      <c r="G2" s="863"/>
      <c r="H2" s="863"/>
      <c r="I2" s="863"/>
      <c r="J2" s="863"/>
      <c r="K2" s="863"/>
      <c r="L2" s="863"/>
      <c r="M2" s="863"/>
      <c r="N2" s="863"/>
      <c r="O2" s="863"/>
      <c r="P2" s="863"/>
      <c r="Q2" s="863"/>
      <c r="R2" s="863"/>
      <c r="S2" s="863"/>
      <c r="W2" s="996" t="s">
        <v>4</v>
      </c>
      <c r="X2" s="996"/>
      <c r="Y2" s="996"/>
      <c r="Z2" s="996"/>
      <c r="AA2" s="996"/>
      <c r="AB2" s="996"/>
      <c r="AC2" s="996"/>
      <c r="AD2" s="996"/>
      <c r="AE2" s="996"/>
      <c r="AF2" s="996"/>
      <c r="AG2" s="996"/>
      <c r="AH2" s="996"/>
      <c r="AI2" s="996"/>
      <c r="AJ2" s="996"/>
      <c r="AK2" s="996"/>
      <c r="AL2" s="996"/>
    </row>
    <row r="3" spans="2:39" ht="19.5" thickBot="1">
      <c r="B3" s="863" t="s">
        <v>211</v>
      </c>
      <c r="C3" s="863"/>
      <c r="D3" s="863"/>
      <c r="E3" s="863"/>
      <c r="F3" s="863"/>
      <c r="G3" s="863"/>
      <c r="H3" s="863"/>
      <c r="I3" s="863"/>
      <c r="J3" s="863"/>
      <c r="K3" s="863"/>
      <c r="L3" s="863"/>
      <c r="M3" s="863"/>
      <c r="N3" s="863"/>
      <c r="O3" s="863"/>
      <c r="P3" s="863"/>
      <c r="Q3" s="863"/>
      <c r="R3" s="863"/>
      <c r="S3" s="863"/>
      <c r="T3" s="6"/>
      <c r="W3" s="996" t="s">
        <v>211</v>
      </c>
      <c r="X3" s="996"/>
      <c r="Y3" s="996"/>
      <c r="Z3" s="996"/>
      <c r="AA3" s="996"/>
      <c r="AB3" s="996"/>
      <c r="AC3" s="996"/>
      <c r="AD3" s="996"/>
      <c r="AE3" s="996"/>
      <c r="AF3" s="996"/>
      <c r="AG3" s="996"/>
      <c r="AH3" s="996"/>
      <c r="AI3" s="996"/>
      <c r="AJ3" s="996"/>
      <c r="AK3" s="996"/>
      <c r="AL3" s="996"/>
    </row>
    <row r="4" spans="2:39" ht="18.75">
      <c r="B4" s="863" t="s">
        <v>219</v>
      </c>
      <c r="C4" s="863"/>
      <c r="D4" s="863"/>
      <c r="E4" s="863"/>
      <c r="F4" s="863"/>
      <c r="G4" s="863"/>
      <c r="H4" s="863"/>
      <c r="I4" s="863"/>
      <c r="J4" s="863"/>
      <c r="K4" s="863"/>
      <c r="L4" s="863"/>
      <c r="M4" s="863"/>
      <c r="N4" s="863"/>
      <c r="O4" s="863"/>
      <c r="P4" s="863"/>
      <c r="Q4" s="863"/>
      <c r="R4" s="863"/>
      <c r="S4" s="863"/>
      <c r="W4" s="996" t="s">
        <v>219</v>
      </c>
      <c r="X4" s="996"/>
      <c r="Y4" s="996"/>
      <c r="Z4" s="996"/>
      <c r="AA4" s="996"/>
      <c r="AB4" s="996"/>
      <c r="AC4" s="996"/>
      <c r="AD4" s="996"/>
      <c r="AE4" s="996"/>
      <c r="AF4" s="996"/>
      <c r="AG4" s="996"/>
      <c r="AH4" s="996"/>
      <c r="AI4" s="996"/>
      <c r="AJ4" s="996"/>
      <c r="AK4" s="996"/>
      <c r="AL4" s="996"/>
    </row>
    <row r="5" spans="2:39" ht="30.75" customHeight="1" thickBot="1">
      <c r="B5" s="923" t="s">
        <v>5</v>
      </c>
      <c r="C5" s="923"/>
      <c r="D5" s="923"/>
      <c r="E5" s="923"/>
      <c r="F5" s="923" t="s">
        <v>289</v>
      </c>
      <c r="G5" s="923"/>
      <c r="H5" s="923"/>
      <c r="I5" s="923"/>
      <c r="J5" s="923"/>
      <c r="K5" s="44"/>
      <c r="L5" s="44"/>
      <c r="M5" s="5"/>
      <c r="N5" s="5"/>
      <c r="O5" s="44"/>
      <c r="P5" s="45" t="s">
        <v>2</v>
      </c>
      <c r="Q5" s="45"/>
      <c r="R5" s="44"/>
      <c r="S5" s="5"/>
      <c r="W5" s="9" t="s">
        <v>5</v>
      </c>
      <c r="X5" s="10"/>
      <c r="Y5" s="10"/>
      <c r="Z5" s="10"/>
      <c r="AA5" s="997" t="s">
        <v>210</v>
      </c>
      <c r="AB5" s="997"/>
      <c r="AC5" s="997"/>
      <c r="AD5" s="997"/>
      <c r="AE5" s="997"/>
      <c r="AF5" s="997"/>
      <c r="AG5" s="997"/>
      <c r="AH5" s="997"/>
      <c r="AI5" s="998"/>
      <c r="AJ5" s="998"/>
      <c r="AK5" s="998"/>
      <c r="AL5" s="11"/>
    </row>
    <row r="6" spans="2:39" ht="23.25" customHeight="1" thickTop="1">
      <c r="B6" s="920" t="s">
        <v>9</v>
      </c>
      <c r="C6" s="911" t="s">
        <v>6</v>
      </c>
      <c r="D6" s="912"/>
      <c r="E6" s="912"/>
      <c r="F6" s="912"/>
      <c r="G6" s="912"/>
      <c r="H6" s="912"/>
      <c r="I6" s="913"/>
      <c r="J6" s="911" t="s">
        <v>7</v>
      </c>
      <c r="K6" s="912"/>
      <c r="L6" s="912"/>
      <c r="M6" s="912"/>
      <c r="N6" s="913"/>
      <c r="O6" s="911" t="s">
        <v>8</v>
      </c>
      <c r="P6" s="912"/>
      <c r="Q6" s="912"/>
      <c r="R6" s="913"/>
      <c r="S6" s="917" t="s">
        <v>0</v>
      </c>
      <c r="W6" s="1020" t="s">
        <v>9</v>
      </c>
      <c r="X6" s="1017" t="s">
        <v>10</v>
      </c>
      <c r="Y6" s="1011" t="s">
        <v>6</v>
      </c>
      <c r="Z6" s="1011"/>
      <c r="AA6" s="1011"/>
      <c r="AB6" s="1011"/>
      <c r="AC6" s="1012"/>
      <c r="AD6" s="1002" t="s">
        <v>7</v>
      </c>
      <c r="AE6" s="1003"/>
      <c r="AF6" s="1003"/>
      <c r="AG6" s="1004"/>
      <c r="AH6" s="1017" t="s">
        <v>8</v>
      </c>
      <c r="AI6" s="1011"/>
      <c r="AJ6" s="1011"/>
      <c r="AK6" s="1012"/>
      <c r="AL6" s="999" t="s">
        <v>0</v>
      </c>
    </row>
    <row r="7" spans="2:39" ht="27" customHeight="1" thickBot="1">
      <c r="B7" s="921"/>
      <c r="C7" s="914"/>
      <c r="D7" s="915"/>
      <c r="E7" s="915"/>
      <c r="F7" s="915"/>
      <c r="G7" s="915"/>
      <c r="H7" s="915"/>
      <c r="I7" s="916"/>
      <c r="J7" s="914"/>
      <c r="K7" s="915"/>
      <c r="L7" s="915"/>
      <c r="M7" s="915"/>
      <c r="N7" s="916"/>
      <c r="O7" s="914"/>
      <c r="P7" s="915"/>
      <c r="Q7" s="915"/>
      <c r="R7" s="916"/>
      <c r="S7" s="918"/>
      <c r="W7" s="1021"/>
      <c r="X7" s="1018"/>
      <c r="Y7" s="1013"/>
      <c r="Z7" s="1013"/>
      <c r="AA7" s="1013"/>
      <c r="AB7" s="1013"/>
      <c r="AC7" s="1014"/>
      <c r="AD7" s="1005"/>
      <c r="AE7" s="1006"/>
      <c r="AF7" s="1006"/>
      <c r="AG7" s="1007"/>
      <c r="AH7" s="1018"/>
      <c r="AI7" s="1013"/>
      <c r="AJ7" s="1013"/>
      <c r="AK7" s="1014"/>
      <c r="AL7" s="1000"/>
    </row>
    <row r="8" spans="2:39" ht="33" customHeight="1" thickBot="1">
      <c r="B8" s="922"/>
      <c r="C8" s="46" t="s">
        <v>10</v>
      </c>
      <c r="D8" s="47" t="s">
        <v>11</v>
      </c>
      <c r="E8" s="46" t="s">
        <v>12</v>
      </c>
      <c r="F8" s="47" t="s">
        <v>13</v>
      </c>
      <c r="G8" s="46" t="s">
        <v>14</v>
      </c>
      <c r="H8" s="47" t="s">
        <v>15</v>
      </c>
      <c r="I8" s="48" t="s">
        <v>16</v>
      </c>
      <c r="J8" s="46" t="s">
        <v>11</v>
      </c>
      <c r="K8" s="47" t="s">
        <v>12</v>
      </c>
      <c r="L8" s="46" t="s">
        <v>13</v>
      </c>
      <c r="M8" s="47" t="s">
        <v>14</v>
      </c>
      <c r="N8" s="49" t="s">
        <v>16</v>
      </c>
      <c r="O8" s="50" t="s">
        <v>11</v>
      </c>
      <c r="P8" s="51" t="s">
        <v>12</v>
      </c>
      <c r="Q8" s="46" t="s">
        <v>13</v>
      </c>
      <c r="R8" s="49" t="s">
        <v>16</v>
      </c>
      <c r="S8" s="919"/>
      <c r="W8" s="1022"/>
      <c r="X8" s="1019"/>
      <c r="Y8" s="1015"/>
      <c r="Z8" s="1015"/>
      <c r="AA8" s="1015"/>
      <c r="AB8" s="1015"/>
      <c r="AC8" s="1016"/>
      <c r="AD8" s="1008"/>
      <c r="AE8" s="1009"/>
      <c r="AF8" s="1009"/>
      <c r="AG8" s="1010"/>
      <c r="AH8" s="1023"/>
      <c r="AI8" s="1024"/>
      <c r="AJ8" s="1024"/>
      <c r="AK8" s="1025"/>
      <c r="AL8" s="1001"/>
    </row>
    <row r="9" spans="2:39" ht="72.75" customHeight="1" thickBot="1">
      <c r="B9" s="52" t="s">
        <v>17</v>
      </c>
      <c r="C9" s="625">
        <f t="shared" ref="C9:H9" si="0">C55</f>
        <v>882</v>
      </c>
      <c r="D9" s="626">
        <f t="shared" si="0"/>
        <v>1049</v>
      </c>
      <c r="E9" s="626">
        <f t="shared" si="0"/>
        <v>1249</v>
      </c>
      <c r="F9" s="626">
        <f t="shared" si="0"/>
        <v>1125</v>
      </c>
      <c r="G9" s="626">
        <f t="shared" si="0"/>
        <v>1164</v>
      </c>
      <c r="H9" s="625">
        <f t="shared" si="0"/>
        <v>1041</v>
      </c>
      <c r="I9" s="627">
        <f>H9+G9+F9+E9+D9+C9</f>
        <v>6510</v>
      </c>
      <c r="J9" s="628">
        <f>J55</f>
        <v>1693</v>
      </c>
      <c r="K9" s="629">
        <f>K55</f>
        <v>1330</v>
      </c>
      <c r="L9" s="628">
        <f>L55</f>
        <v>1071</v>
      </c>
      <c r="M9" s="630">
        <f>M55</f>
        <v>912</v>
      </c>
      <c r="N9" s="631">
        <f>M9+L9+K9+J9</f>
        <v>5006</v>
      </c>
      <c r="O9" s="629">
        <f>O55</f>
        <v>454</v>
      </c>
      <c r="P9" s="625">
        <f>P55</f>
        <v>324</v>
      </c>
      <c r="Q9" s="625">
        <f>Q55</f>
        <v>384</v>
      </c>
      <c r="R9" s="631">
        <f>Q9+P9+O9</f>
        <v>1162</v>
      </c>
      <c r="S9" s="632">
        <f t="shared" ref="S9:S15" si="1">R9+N9+I9</f>
        <v>12678</v>
      </c>
      <c r="W9" s="21" t="s">
        <v>17</v>
      </c>
      <c r="X9" s="28">
        <v>92</v>
      </c>
      <c r="Y9" s="1046">
        <v>6334</v>
      </c>
      <c r="Z9" s="1027"/>
      <c r="AA9" s="1027"/>
      <c r="AB9" s="1027"/>
      <c r="AC9" s="1028"/>
      <c r="AD9" s="1026">
        <v>4399</v>
      </c>
      <c r="AE9" s="1027"/>
      <c r="AF9" s="1027"/>
      <c r="AG9" s="1028"/>
      <c r="AH9" s="1029">
        <v>1121</v>
      </c>
      <c r="AI9" s="1030"/>
      <c r="AJ9" s="1030"/>
      <c r="AK9" s="1031"/>
      <c r="AL9" s="29">
        <f>AH9+AD9+Y9</f>
        <v>11854</v>
      </c>
    </row>
    <row r="10" spans="2:39" ht="67.5" customHeight="1" thickBot="1">
      <c r="B10" s="53" t="s">
        <v>18</v>
      </c>
      <c r="C10" s="633">
        <f>C92</f>
        <v>987</v>
      </c>
      <c r="D10" s="634">
        <f t="shared" ref="D10:H10" si="2">D92</f>
        <v>1155</v>
      </c>
      <c r="E10" s="634">
        <f t="shared" si="2"/>
        <v>1214</v>
      </c>
      <c r="F10" s="634">
        <f t="shared" si="2"/>
        <v>1130</v>
      </c>
      <c r="G10" s="634">
        <f t="shared" si="2"/>
        <v>1116</v>
      </c>
      <c r="H10" s="633">
        <f t="shared" si="2"/>
        <v>1076</v>
      </c>
      <c r="I10" s="635">
        <f t="shared" ref="I10:I13" si="3">H10+G10+F10+E10+D10+C10</f>
        <v>6678</v>
      </c>
      <c r="J10" s="633">
        <f>J92</f>
        <v>878</v>
      </c>
      <c r="K10" s="636">
        <f t="shared" ref="K10:M10" si="4">K92</f>
        <v>810</v>
      </c>
      <c r="L10" s="633">
        <f t="shared" si="4"/>
        <v>748</v>
      </c>
      <c r="M10" s="637">
        <f t="shared" si="4"/>
        <v>735</v>
      </c>
      <c r="N10" s="638">
        <f t="shared" ref="N10:N13" si="5">M10+L10+K10+J10</f>
        <v>3171</v>
      </c>
      <c r="O10" s="636">
        <f>O92</f>
        <v>832</v>
      </c>
      <c r="P10" s="633">
        <f t="shared" ref="P10:Q10" si="6">P92</f>
        <v>573</v>
      </c>
      <c r="Q10" s="633">
        <f t="shared" si="6"/>
        <v>651</v>
      </c>
      <c r="R10" s="638">
        <f t="shared" ref="R10:R13" si="7">Q10+P10+O10</f>
        <v>2056</v>
      </c>
      <c r="S10" s="639">
        <f t="shared" si="1"/>
        <v>11905</v>
      </c>
      <c r="W10" s="22" t="s">
        <v>18</v>
      </c>
      <c r="X10" s="24">
        <f t="shared" ref="X10" si="8">X92</f>
        <v>0</v>
      </c>
      <c r="Y10" s="1045">
        <v>5552</v>
      </c>
      <c r="Z10" s="1030"/>
      <c r="AA10" s="1030"/>
      <c r="AB10" s="1030"/>
      <c r="AC10" s="1031"/>
      <c r="AD10" s="1029">
        <v>3007</v>
      </c>
      <c r="AE10" s="1030"/>
      <c r="AF10" s="1030"/>
      <c r="AG10" s="1031"/>
      <c r="AH10" s="1041">
        <v>1604</v>
      </c>
      <c r="AI10" s="1042"/>
      <c r="AJ10" s="1042"/>
      <c r="AK10" s="1043"/>
      <c r="AL10" s="29">
        <f t="shared" ref="AL10:AL15" si="9">AH10+AD10+Y10</f>
        <v>10163</v>
      </c>
    </row>
    <row r="11" spans="2:39" ht="64.5" customHeight="1" thickBot="1">
      <c r="B11" s="52" t="s">
        <v>19</v>
      </c>
      <c r="C11" s="640">
        <f>C131+C166</f>
        <v>867</v>
      </c>
      <c r="D11" s="641">
        <f t="shared" ref="D11:H11" si="10">D131+D166</f>
        <v>1055</v>
      </c>
      <c r="E11" s="641">
        <f t="shared" si="10"/>
        <v>1359</v>
      </c>
      <c r="F11" s="641">
        <f t="shared" si="10"/>
        <v>1271</v>
      </c>
      <c r="G11" s="641">
        <f t="shared" si="10"/>
        <v>1287</v>
      </c>
      <c r="H11" s="640">
        <f t="shared" si="10"/>
        <v>1172</v>
      </c>
      <c r="I11" s="642">
        <f t="shared" si="3"/>
        <v>7011</v>
      </c>
      <c r="J11" s="640">
        <f>J131+J166</f>
        <v>1733</v>
      </c>
      <c r="K11" s="643">
        <f t="shared" ref="K11:M11" si="11">K131+K166</f>
        <v>1182</v>
      </c>
      <c r="L11" s="640">
        <f t="shared" si="11"/>
        <v>971</v>
      </c>
      <c r="M11" s="644">
        <f t="shared" si="11"/>
        <v>919</v>
      </c>
      <c r="N11" s="645">
        <f t="shared" si="5"/>
        <v>4805</v>
      </c>
      <c r="O11" s="643">
        <f>O131</f>
        <v>571</v>
      </c>
      <c r="P11" s="633">
        <f t="shared" ref="P11:Q11" si="12">P131</f>
        <v>518</v>
      </c>
      <c r="Q11" s="646">
        <f t="shared" si="12"/>
        <v>542</v>
      </c>
      <c r="R11" s="645">
        <f t="shared" si="7"/>
        <v>1631</v>
      </c>
      <c r="S11" s="647">
        <f t="shared" si="1"/>
        <v>13447</v>
      </c>
      <c r="W11" s="22" t="s">
        <v>19</v>
      </c>
      <c r="X11" s="24">
        <f t="shared" ref="X11" si="13">X131+X166</f>
        <v>0</v>
      </c>
      <c r="Y11" s="1045">
        <v>6541</v>
      </c>
      <c r="Z11" s="1030"/>
      <c r="AA11" s="1030"/>
      <c r="AB11" s="1030"/>
      <c r="AC11" s="1031"/>
      <c r="AD11" s="1029">
        <v>3472</v>
      </c>
      <c r="AE11" s="1030"/>
      <c r="AF11" s="1030"/>
      <c r="AG11" s="1031"/>
      <c r="AH11" s="1029">
        <v>1613</v>
      </c>
      <c r="AI11" s="1030"/>
      <c r="AJ11" s="1030"/>
      <c r="AK11" s="1031"/>
      <c r="AL11" s="29">
        <f t="shared" si="9"/>
        <v>11626</v>
      </c>
      <c r="AM11" s="27"/>
    </row>
    <row r="12" spans="2:39" ht="71.25" customHeight="1" thickBot="1">
      <c r="B12" s="53" t="s">
        <v>20</v>
      </c>
      <c r="C12" s="633">
        <f>C204+C239</f>
        <v>1024</v>
      </c>
      <c r="D12" s="634">
        <f t="shared" ref="D12:R12" si="14">D204+D239</f>
        <v>1346</v>
      </c>
      <c r="E12" s="634">
        <f t="shared" si="14"/>
        <v>1626</v>
      </c>
      <c r="F12" s="634">
        <f t="shared" si="14"/>
        <v>1606</v>
      </c>
      <c r="G12" s="634">
        <f t="shared" si="14"/>
        <v>1548</v>
      </c>
      <c r="H12" s="633">
        <f t="shared" si="14"/>
        <v>1401</v>
      </c>
      <c r="I12" s="648">
        <f t="shared" si="14"/>
        <v>8551</v>
      </c>
      <c r="J12" s="633">
        <f t="shared" si="14"/>
        <v>1746</v>
      </c>
      <c r="K12" s="636">
        <f t="shared" si="14"/>
        <v>1068</v>
      </c>
      <c r="L12" s="633">
        <f t="shared" si="14"/>
        <v>960</v>
      </c>
      <c r="M12" s="637">
        <f t="shared" si="14"/>
        <v>936</v>
      </c>
      <c r="N12" s="649">
        <f t="shared" si="14"/>
        <v>5339</v>
      </c>
      <c r="O12" s="634">
        <f t="shared" si="14"/>
        <v>745</v>
      </c>
      <c r="P12" s="634">
        <f t="shared" si="14"/>
        <v>509</v>
      </c>
      <c r="Q12" s="650">
        <f t="shared" si="14"/>
        <v>545</v>
      </c>
      <c r="R12" s="638">
        <f t="shared" si="14"/>
        <v>1799</v>
      </c>
      <c r="S12" s="639">
        <f t="shared" si="1"/>
        <v>15689</v>
      </c>
      <c r="W12" s="22" t="s">
        <v>20</v>
      </c>
      <c r="X12" s="24">
        <f>X204+X239</f>
        <v>0</v>
      </c>
      <c r="Y12" s="1045">
        <v>8495</v>
      </c>
      <c r="Z12" s="1030"/>
      <c r="AA12" s="1030"/>
      <c r="AB12" s="1030"/>
      <c r="AC12" s="1031"/>
      <c r="AD12" s="1029">
        <v>4228</v>
      </c>
      <c r="AE12" s="1030"/>
      <c r="AF12" s="1030"/>
      <c r="AG12" s="1031"/>
      <c r="AH12" s="1029">
        <v>1649</v>
      </c>
      <c r="AI12" s="1030"/>
      <c r="AJ12" s="1030"/>
      <c r="AK12" s="1031"/>
      <c r="AL12" s="29">
        <f t="shared" si="9"/>
        <v>14372</v>
      </c>
    </row>
    <row r="13" spans="2:39" ht="63.75" customHeight="1" thickBot="1">
      <c r="B13" s="52" t="s">
        <v>21</v>
      </c>
      <c r="C13" s="640">
        <f t="shared" ref="C13:H13" si="15">C283+C316+C351</f>
        <v>1249</v>
      </c>
      <c r="D13" s="641">
        <f t="shared" si="15"/>
        <v>1927</v>
      </c>
      <c r="E13" s="641">
        <f t="shared" si="15"/>
        <v>2330</v>
      </c>
      <c r="F13" s="641">
        <f t="shared" si="15"/>
        <v>2133</v>
      </c>
      <c r="G13" s="641">
        <f t="shared" si="15"/>
        <v>2043</v>
      </c>
      <c r="H13" s="640">
        <f t="shared" si="15"/>
        <v>1722</v>
      </c>
      <c r="I13" s="642">
        <f t="shared" si="3"/>
        <v>11404</v>
      </c>
      <c r="J13" s="640">
        <f>J283+J316+J351</f>
        <v>2162</v>
      </c>
      <c r="K13" s="643">
        <f>K283+K316+K351</f>
        <v>1527</v>
      </c>
      <c r="L13" s="640">
        <f>L283+L316+L351</f>
        <v>1032</v>
      </c>
      <c r="M13" s="644">
        <f>M283+M316+M351</f>
        <v>1109</v>
      </c>
      <c r="N13" s="645">
        <f t="shared" si="5"/>
        <v>5830</v>
      </c>
      <c r="O13" s="644">
        <f>O283+O316+O351</f>
        <v>627</v>
      </c>
      <c r="P13" s="644">
        <f>P283+P316+P351</f>
        <v>434</v>
      </c>
      <c r="Q13" s="643">
        <f>Q283+Q316+Q351</f>
        <v>528</v>
      </c>
      <c r="R13" s="645">
        <f t="shared" si="7"/>
        <v>1589</v>
      </c>
      <c r="S13" s="647">
        <f t="shared" si="1"/>
        <v>18823</v>
      </c>
      <c r="W13" s="22" t="s">
        <v>21</v>
      </c>
      <c r="X13" s="24">
        <f>X283+X316+X351</f>
        <v>0</v>
      </c>
      <c r="Y13" s="1045">
        <v>10369</v>
      </c>
      <c r="Z13" s="1030"/>
      <c r="AA13" s="1030"/>
      <c r="AB13" s="1030"/>
      <c r="AC13" s="1031"/>
      <c r="AD13" s="1029">
        <v>4962</v>
      </c>
      <c r="AE13" s="1030"/>
      <c r="AF13" s="1030"/>
      <c r="AG13" s="1031"/>
      <c r="AH13" s="1029">
        <v>1560</v>
      </c>
      <c r="AI13" s="1030"/>
      <c r="AJ13" s="1030"/>
      <c r="AK13" s="1031"/>
      <c r="AL13" s="29">
        <f t="shared" si="9"/>
        <v>16891</v>
      </c>
    </row>
    <row r="14" spans="2:39" ht="72.75" customHeight="1" thickBot="1">
      <c r="B14" s="54" t="s">
        <v>22</v>
      </c>
      <c r="C14" s="633">
        <f>C386+C421+C456</f>
        <v>507</v>
      </c>
      <c r="D14" s="651">
        <f t="shared" ref="D14:R14" si="16">D386+D421+D456</f>
        <v>916</v>
      </c>
      <c r="E14" s="652">
        <f t="shared" si="16"/>
        <v>1136</v>
      </c>
      <c r="F14" s="652">
        <f t="shared" si="16"/>
        <v>1106</v>
      </c>
      <c r="G14" s="652">
        <f t="shared" si="16"/>
        <v>1055</v>
      </c>
      <c r="H14" s="653">
        <f t="shared" si="16"/>
        <v>974</v>
      </c>
      <c r="I14" s="654">
        <f t="shared" si="16"/>
        <v>6142</v>
      </c>
      <c r="J14" s="653">
        <f t="shared" si="16"/>
        <v>1474</v>
      </c>
      <c r="K14" s="655">
        <f t="shared" si="16"/>
        <v>1124</v>
      </c>
      <c r="L14" s="653">
        <f t="shared" si="16"/>
        <v>731</v>
      </c>
      <c r="M14" s="651">
        <f t="shared" si="16"/>
        <v>628</v>
      </c>
      <c r="N14" s="656">
        <f t="shared" si="16"/>
        <v>3957</v>
      </c>
      <c r="O14" s="657">
        <f t="shared" si="16"/>
        <v>451</v>
      </c>
      <c r="P14" s="653">
        <f t="shared" si="16"/>
        <v>393</v>
      </c>
      <c r="Q14" s="655">
        <f t="shared" si="16"/>
        <v>406</v>
      </c>
      <c r="R14" s="638">
        <f t="shared" si="16"/>
        <v>1250</v>
      </c>
      <c r="S14" s="658">
        <f t="shared" si="1"/>
        <v>11349</v>
      </c>
      <c r="W14" s="23" t="s">
        <v>22</v>
      </c>
      <c r="X14" s="25">
        <f>X386+X421+X456</f>
        <v>0</v>
      </c>
      <c r="Y14" s="1047">
        <v>5589</v>
      </c>
      <c r="Z14" s="1033"/>
      <c r="AA14" s="1033"/>
      <c r="AB14" s="1033"/>
      <c r="AC14" s="1034"/>
      <c r="AD14" s="1032">
        <v>3022</v>
      </c>
      <c r="AE14" s="1033"/>
      <c r="AF14" s="1033"/>
      <c r="AG14" s="1034"/>
      <c r="AH14" s="1032">
        <v>987</v>
      </c>
      <c r="AI14" s="1033"/>
      <c r="AJ14" s="1033"/>
      <c r="AK14" s="1034"/>
      <c r="AL14" s="29">
        <f t="shared" si="9"/>
        <v>9598</v>
      </c>
    </row>
    <row r="15" spans="2:39" ht="60" customHeight="1" thickBot="1">
      <c r="B15" s="55" t="s">
        <v>23</v>
      </c>
      <c r="C15" s="659">
        <f t="shared" ref="C15:G15" si="17">C9+C10+C11+C12+C13+C14</f>
        <v>5516</v>
      </c>
      <c r="D15" s="660">
        <f t="shared" si="17"/>
        <v>7448</v>
      </c>
      <c r="E15" s="661">
        <f t="shared" si="17"/>
        <v>8914</v>
      </c>
      <c r="F15" s="661">
        <f t="shared" si="17"/>
        <v>8371</v>
      </c>
      <c r="G15" s="661">
        <f t="shared" si="17"/>
        <v>8213</v>
      </c>
      <c r="H15" s="661">
        <f>H9+H10+H11+H12+H13+H14</f>
        <v>7386</v>
      </c>
      <c r="I15" s="662">
        <f>I9+I10+I11+I12+I13+I14</f>
        <v>46296</v>
      </c>
      <c r="J15" s="663">
        <f t="shared" ref="J15:L15" si="18">J9+J10+J11+J12+J13+J14</f>
        <v>9686</v>
      </c>
      <c r="K15" s="664">
        <f t="shared" si="18"/>
        <v>7041</v>
      </c>
      <c r="L15" s="663">
        <f t="shared" si="18"/>
        <v>5513</v>
      </c>
      <c r="M15" s="664">
        <f>M9+M10+M11+M12+M13+M14</f>
        <v>5239</v>
      </c>
      <c r="N15" s="665">
        <f>N9+N10+N11+N12+N13+N14</f>
        <v>28108</v>
      </c>
      <c r="O15" s="666">
        <f t="shared" ref="O15:Q15" si="19">O9+O10+O11+O12+O13+O14</f>
        <v>3680</v>
      </c>
      <c r="P15" s="663">
        <f t="shared" si="19"/>
        <v>2751</v>
      </c>
      <c r="Q15" s="664">
        <f t="shared" si="19"/>
        <v>3056</v>
      </c>
      <c r="R15" s="667">
        <f>R9+R10+R11+R12+R13+R14</f>
        <v>9487</v>
      </c>
      <c r="S15" s="668">
        <f t="shared" si="1"/>
        <v>83891</v>
      </c>
      <c r="W15" s="20" t="s">
        <v>23</v>
      </c>
      <c r="X15" s="30">
        <f>X9+X10+X11+X12+X13+X14</f>
        <v>92</v>
      </c>
      <c r="Y15" s="1038">
        <f>Y9+Y10+Y11+Y12+Y13+Y14</f>
        <v>42880</v>
      </c>
      <c r="Z15" s="1039"/>
      <c r="AA15" s="1039"/>
      <c r="AB15" s="1039"/>
      <c r="AC15" s="1040"/>
      <c r="AD15" s="1035">
        <f t="shared" ref="AD15" si="20">AD9+AD10+AD11+AD12+AD13+AD14</f>
        <v>23090</v>
      </c>
      <c r="AE15" s="1036"/>
      <c r="AF15" s="1036"/>
      <c r="AG15" s="1037"/>
      <c r="AH15" s="1044">
        <f t="shared" ref="AH15" si="21">AH9+AH10+AH11+AH12+AH13+AH14</f>
        <v>8534</v>
      </c>
      <c r="AI15" s="1039"/>
      <c r="AJ15" s="1039"/>
      <c r="AK15" s="1040"/>
      <c r="AL15" s="29">
        <f t="shared" si="9"/>
        <v>74504</v>
      </c>
    </row>
    <row r="16" spans="2:39" ht="16.5" thickTop="1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</row>
    <row r="17" spans="2:21" ht="15.7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2:21" ht="15.7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2:21" ht="15.75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2:21" ht="15.7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2:21" ht="15.7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2:21" ht="20.25">
      <c r="B22" s="1055" t="s">
        <v>4</v>
      </c>
      <c r="C22" s="1055"/>
      <c r="D22" s="1055"/>
      <c r="E22" s="1055"/>
      <c r="F22" s="1055"/>
      <c r="G22" s="1055"/>
      <c r="H22" s="1055"/>
      <c r="I22" s="1055"/>
      <c r="J22" s="1055"/>
      <c r="K22" s="1055"/>
      <c r="L22" s="1055"/>
      <c r="M22" s="1055"/>
      <c r="N22" s="1055"/>
      <c r="O22" s="1055"/>
      <c r="P22" s="1055"/>
      <c r="Q22" s="1055"/>
      <c r="R22" s="1055"/>
      <c r="S22" s="1055"/>
    </row>
    <row r="23" spans="2:21" ht="20.25">
      <c r="B23" s="1055" t="s">
        <v>211</v>
      </c>
      <c r="C23" s="1055"/>
      <c r="D23" s="1055"/>
      <c r="E23" s="1055"/>
      <c r="F23" s="1055"/>
      <c r="G23" s="1055"/>
      <c r="H23" s="1055"/>
      <c r="I23" s="1055"/>
      <c r="J23" s="1055"/>
      <c r="K23" s="1055"/>
      <c r="L23" s="1055"/>
      <c r="M23" s="1055"/>
      <c r="N23" s="1055"/>
      <c r="O23" s="1055"/>
      <c r="P23" s="1055"/>
      <c r="Q23" s="1055"/>
      <c r="R23" s="1055"/>
      <c r="S23" s="1055"/>
    </row>
    <row r="24" spans="2:21" ht="20.25">
      <c r="B24" s="1055" t="s">
        <v>302</v>
      </c>
      <c r="C24" s="1055"/>
      <c r="D24" s="1055"/>
      <c r="E24" s="1055"/>
      <c r="F24" s="1055"/>
      <c r="G24" s="1055"/>
      <c r="H24" s="1055"/>
      <c r="I24" s="1055"/>
      <c r="J24" s="1055"/>
      <c r="K24" s="1055"/>
      <c r="L24" s="1055"/>
      <c r="M24" s="1055"/>
      <c r="N24" s="1055"/>
      <c r="O24" s="1055"/>
      <c r="P24" s="1055"/>
      <c r="Q24" s="1055"/>
      <c r="R24" s="1055"/>
      <c r="S24" s="1055"/>
    </row>
    <row r="25" spans="2:21" ht="21" thickBot="1">
      <c r="B25" s="1088" t="s">
        <v>5</v>
      </c>
      <c r="C25" s="1088"/>
      <c r="D25" s="1088"/>
      <c r="E25" s="1088"/>
      <c r="F25" s="1085" t="s">
        <v>290</v>
      </c>
      <c r="G25" s="1085"/>
      <c r="H25" s="1085"/>
      <c r="I25" s="1085"/>
      <c r="J25" s="1085"/>
      <c r="K25" s="1085"/>
      <c r="L25" s="1085"/>
      <c r="M25" s="1085"/>
      <c r="N25" s="1085"/>
      <c r="O25" s="1085"/>
      <c r="P25" s="1087"/>
      <c r="Q25" s="1087"/>
      <c r="R25" s="1087"/>
      <c r="S25" s="756"/>
    </row>
    <row r="26" spans="2:21" ht="16.5" thickBot="1">
      <c r="B26" s="1096"/>
      <c r="C26" s="1096"/>
      <c r="D26" s="1096"/>
      <c r="E26" s="1096"/>
      <c r="F26" s="1095"/>
      <c r="G26" s="1095"/>
      <c r="H26" s="1095"/>
      <c r="I26" s="1095"/>
      <c r="J26" s="1095"/>
      <c r="K26" s="57"/>
      <c r="L26" s="57"/>
      <c r="M26" s="57"/>
      <c r="N26" s="57"/>
      <c r="O26" s="57"/>
      <c r="P26" s="1095"/>
      <c r="Q26" s="1095"/>
      <c r="R26" s="1095"/>
      <c r="S26" s="58"/>
      <c r="T26" s="7"/>
    </row>
    <row r="27" spans="2:21" ht="15.75">
      <c r="B27" s="1092" t="s">
        <v>3</v>
      </c>
      <c r="C27" s="924" t="s">
        <v>6</v>
      </c>
      <c r="D27" s="925"/>
      <c r="E27" s="925"/>
      <c r="F27" s="925"/>
      <c r="G27" s="925"/>
      <c r="H27" s="925"/>
      <c r="I27" s="926"/>
      <c r="J27" s="930" t="s">
        <v>7</v>
      </c>
      <c r="K27" s="931"/>
      <c r="L27" s="931"/>
      <c r="M27" s="931"/>
      <c r="N27" s="932"/>
      <c r="O27" s="936" t="s">
        <v>8</v>
      </c>
      <c r="P27" s="937"/>
      <c r="Q27" s="937"/>
      <c r="R27" s="1076"/>
      <c r="S27" s="59"/>
    </row>
    <row r="28" spans="2:21" ht="16.5" thickBot="1">
      <c r="B28" s="1093"/>
      <c r="C28" s="927"/>
      <c r="D28" s="928"/>
      <c r="E28" s="928"/>
      <c r="F28" s="928"/>
      <c r="G28" s="928"/>
      <c r="H28" s="928"/>
      <c r="I28" s="929"/>
      <c r="J28" s="933"/>
      <c r="K28" s="934"/>
      <c r="L28" s="934"/>
      <c r="M28" s="934"/>
      <c r="N28" s="935"/>
      <c r="O28" s="938"/>
      <c r="P28" s="939"/>
      <c r="Q28" s="939"/>
      <c r="R28" s="1077"/>
      <c r="S28" s="60" t="s">
        <v>0</v>
      </c>
    </row>
    <row r="29" spans="2:21" ht="22.5" customHeight="1" thickBot="1">
      <c r="B29" s="1094"/>
      <c r="C29" s="61" t="s">
        <v>10</v>
      </c>
      <c r="D29" s="62" t="s">
        <v>11</v>
      </c>
      <c r="E29" s="61" t="s">
        <v>12</v>
      </c>
      <c r="F29" s="62" t="s">
        <v>13</v>
      </c>
      <c r="G29" s="63" t="s">
        <v>14</v>
      </c>
      <c r="H29" s="61" t="s">
        <v>15</v>
      </c>
      <c r="I29" s="64" t="s">
        <v>16</v>
      </c>
      <c r="J29" s="65" t="s">
        <v>11</v>
      </c>
      <c r="K29" s="66" t="s">
        <v>12</v>
      </c>
      <c r="L29" s="66" t="s">
        <v>13</v>
      </c>
      <c r="M29" s="67" t="s">
        <v>14</v>
      </c>
      <c r="N29" s="64" t="s">
        <v>16</v>
      </c>
      <c r="O29" s="65" t="s">
        <v>11</v>
      </c>
      <c r="P29" s="67" t="s">
        <v>12</v>
      </c>
      <c r="Q29" s="66" t="s">
        <v>13</v>
      </c>
      <c r="R29" s="68" t="s">
        <v>16</v>
      </c>
      <c r="S29" s="69"/>
      <c r="U29" s="15" t="s">
        <v>225</v>
      </c>
    </row>
    <row r="30" spans="2:21" ht="29.25" customHeight="1" thickBot="1">
      <c r="B30" s="566" t="s">
        <v>24</v>
      </c>
      <c r="C30" s="567">
        <v>62</v>
      </c>
      <c r="D30" s="387">
        <v>59</v>
      </c>
      <c r="E30" s="567">
        <v>81</v>
      </c>
      <c r="F30" s="387">
        <v>74</v>
      </c>
      <c r="G30" s="568">
        <v>70</v>
      </c>
      <c r="H30" s="567">
        <v>61</v>
      </c>
      <c r="I30" s="363">
        <f>H30+G30+F30+E30+D30+C30</f>
        <v>407</v>
      </c>
      <c r="J30" s="1078"/>
      <c r="K30" s="1071"/>
      <c r="L30" s="1071"/>
      <c r="M30" s="1079"/>
      <c r="N30" s="569"/>
      <c r="O30" s="427">
        <v>0</v>
      </c>
      <c r="P30" s="390">
        <v>0</v>
      </c>
      <c r="Q30" s="570">
        <v>0</v>
      </c>
      <c r="R30" s="429"/>
      <c r="S30" s="430">
        <f t="shared" ref="S30:S54" si="22">R30+N30+I30</f>
        <v>407</v>
      </c>
      <c r="U30" s="13" t="s">
        <v>221</v>
      </c>
    </row>
    <row r="31" spans="2:21" ht="27.75" customHeight="1" thickBot="1">
      <c r="B31" s="571" t="s">
        <v>25</v>
      </c>
      <c r="C31" s="567">
        <v>37</v>
      </c>
      <c r="D31" s="387">
        <v>44</v>
      </c>
      <c r="E31" s="567">
        <v>64</v>
      </c>
      <c r="F31" s="387">
        <v>60</v>
      </c>
      <c r="G31" s="568">
        <v>60</v>
      </c>
      <c r="H31" s="567">
        <v>46</v>
      </c>
      <c r="I31" s="363">
        <f t="shared" ref="I31:I45" si="23">H31+G31+F31+E31+D31+C31</f>
        <v>311</v>
      </c>
      <c r="J31" s="1080"/>
      <c r="K31" s="1073"/>
      <c r="L31" s="1073"/>
      <c r="M31" s="1081"/>
      <c r="N31" s="572"/>
      <c r="O31" s="433">
        <v>0</v>
      </c>
      <c r="P31" s="394">
        <v>0</v>
      </c>
      <c r="Q31" s="573">
        <v>0</v>
      </c>
      <c r="R31" s="435"/>
      <c r="S31" s="430">
        <f t="shared" si="22"/>
        <v>311</v>
      </c>
      <c r="U31" s="13" t="s">
        <v>221</v>
      </c>
    </row>
    <row r="32" spans="2:21" ht="24" customHeight="1" thickBot="1">
      <c r="B32" s="571" t="s">
        <v>26</v>
      </c>
      <c r="C32" s="567">
        <v>58</v>
      </c>
      <c r="D32" s="387">
        <v>73</v>
      </c>
      <c r="E32" s="567">
        <v>67</v>
      </c>
      <c r="F32" s="387">
        <v>64</v>
      </c>
      <c r="G32" s="568">
        <v>75</v>
      </c>
      <c r="H32" s="567">
        <v>61</v>
      </c>
      <c r="I32" s="363">
        <f t="shared" si="23"/>
        <v>398</v>
      </c>
      <c r="J32" s="1080"/>
      <c r="K32" s="1073"/>
      <c r="L32" s="1073"/>
      <c r="M32" s="1081"/>
      <c r="N32" s="572"/>
      <c r="O32" s="433">
        <v>0</v>
      </c>
      <c r="P32" s="394">
        <v>0</v>
      </c>
      <c r="Q32" s="573">
        <v>0</v>
      </c>
      <c r="R32" s="435"/>
      <c r="S32" s="430">
        <f t="shared" si="22"/>
        <v>398</v>
      </c>
      <c r="U32" s="13" t="s">
        <v>221</v>
      </c>
    </row>
    <row r="33" spans="2:21" ht="24.75" customHeight="1" thickBot="1">
      <c r="B33" s="571" t="s">
        <v>27</v>
      </c>
      <c r="C33" s="567">
        <v>67</v>
      </c>
      <c r="D33" s="387">
        <v>108</v>
      </c>
      <c r="E33" s="567">
        <v>108</v>
      </c>
      <c r="F33" s="387">
        <v>105</v>
      </c>
      <c r="G33" s="568">
        <v>99</v>
      </c>
      <c r="H33" s="567">
        <v>95</v>
      </c>
      <c r="I33" s="363">
        <f t="shared" si="23"/>
        <v>582</v>
      </c>
      <c r="J33" s="1080"/>
      <c r="K33" s="1073"/>
      <c r="L33" s="1073"/>
      <c r="M33" s="1081"/>
      <c r="N33" s="572"/>
      <c r="O33" s="433">
        <v>0</v>
      </c>
      <c r="P33" s="394">
        <v>0</v>
      </c>
      <c r="Q33" s="573">
        <v>0</v>
      </c>
      <c r="R33" s="435"/>
      <c r="S33" s="430">
        <f t="shared" si="22"/>
        <v>582</v>
      </c>
      <c r="U33" s="13" t="s">
        <v>221</v>
      </c>
    </row>
    <row r="34" spans="2:21" ht="24" customHeight="1" thickBot="1">
      <c r="B34" s="571" t="s">
        <v>28</v>
      </c>
      <c r="C34" s="567">
        <v>18</v>
      </c>
      <c r="D34" s="387">
        <v>38</v>
      </c>
      <c r="E34" s="567">
        <v>48</v>
      </c>
      <c r="F34" s="387">
        <v>47</v>
      </c>
      <c r="G34" s="568">
        <v>47</v>
      </c>
      <c r="H34" s="567">
        <v>49</v>
      </c>
      <c r="I34" s="363">
        <f t="shared" si="23"/>
        <v>247</v>
      </c>
      <c r="J34" s="1080"/>
      <c r="K34" s="1073"/>
      <c r="L34" s="1073"/>
      <c r="M34" s="1081"/>
      <c r="N34" s="572"/>
      <c r="O34" s="433">
        <v>0</v>
      </c>
      <c r="P34" s="394">
        <v>0</v>
      </c>
      <c r="Q34" s="573">
        <v>0</v>
      </c>
      <c r="R34" s="435"/>
      <c r="S34" s="430">
        <f t="shared" si="22"/>
        <v>247</v>
      </c>
      <c r="U34" s="13">
        <v>0</v>
      </c>
    </row>
    <row r="35" spans="2:21" ht="25.5" customHeight="1" thickBot="1">
      <c r="B35" s="571" t="s">
        <v>226</v>
      </c>
      <c r="C35" s="567">
        <v>56</v>
      </c>
      <c r="D35" s="387">
        <v>48</v>
      </c>
      <c r="E35" s="567">
        <v>64</v>
      </c>
      <c r="F35" s="387">
        <v>69</v>
      </c>
      <c r="G35" s="568">
        <v>68</v>
      </c>
      <c r="H35" s="567">
        <v>71</v>
      </c>
      <c r="I35" s="363">
        <f t="shared" si="23"/>
        <v>376</v>
      </c>
      <c r="J35" s="1080"/>
      <c r="K35" s="1073"/>
      <c r="L35" s="1073"/>
      <c r="M35" s="1081"/>
      <c r="N35" s="572"/>
      <c r="O35" s="433">
        <v>0</v>
      </c>
      <c r="P35" s="394">
        <v>0</v>
      </c>
      <c r="Q35" s="573">
        <v>0</v>
      </c>
      <c r="R35" s="435"/>
      <c r="S35" s="430">
        <f t="shared" si="22"/>
        <v>376</v>
      </c>
      <c r="U35" s="13">
        <v>0</v>
      </c>
    </row>
    <row r="36" spans="2:21" ht="21" customHeight="1" thickBot="1">
      <c r="B36" s="571" t="s">
        <v>217</v>
      </c>
      <c r="C36" s="567">
        <v>34</v>
      </c>
      <c r="D36" s="387">
        <v>34</v>
      </c>
      <c r="E36" s="567">
        <v>30</v>
      </c>
      <c r="F36" s="387">
        <v>43</v>
      </c>
      <c r="G36" s="568">
        <v>33</v>
      </c>
      <c r="H36" s="567">
        <v>26</v>
      </c>
      <c r="I36" s="363">
        <f t="shared" si="23"/>
        <v>200</v>
      </c>
      <c r="J36" s="1080"/>
      <c r="K36" s="1073"/>
      <c r="L36" s="1073"/>
      <c r="M36" s="1081"/>
      <c r="N36" s="572"/>
      <c r="O36" s="433">
        <v>0</v>
      </c>
      <c r="P36" s="394">
        <v>0</v>
      </c>
      <c r="Q36" s="573">
        <v>0</v>
      </c>
      <c r="R36" s="435"/>
      <c r="S36" s="430">
        <f t="shared" si="22"/>
        <v>200</v>
      </c>
      <c r="U36" s="13">
        <v>0</v>
      </c>
    </row>
    <row r="37" spans="2:21" ht="24" customHeight="1" thickBot="1">
      <c r="B37" s="574" t="s">
        <v>218</v>
      </c>
      <c r="C37" s="567">
        <v>62</v>
      </c>
      <c r="D37" s="387">
        <v>71</v>
      </c>
      <c r="E37" s="567">
        <v>107</v>
      </c>
      <c r="F37" s="387">
        <v>61</v>
      </c>
      <c r="G37" s="568">
        <v>89</v>
      </c>
      <c r="H37" s="567">
        <v>75</v>
      </c>
      <c r="I37" s="363">
        <f t="shared" si="23"/>
        <v>465</v>
      </c>
      <c r="J37" s="1080"/>
      <c r="K37" s="1073"/>
      <c r="L37" s="1073"/>
      <c r="M37" s="1081"/>
      <c r="N37" s="572"/>
      <c r="O37" s="433">
        <v>0</v>
      </c>
      <c r="P37" s="394">
        <v>0</v>
      </c>
      <c r="Q37" s="573">
        <v>0</v>
      </c>
      <c r="R37" s="435"/>
      <c r="S37" s="430">
        <f t="shared" si="22"/>
        <v>465</v>
      </c>
      <c r="U37" s="13">
        <v>0</v>
      </c>
    </row>
    <row r="38" spans="2:21" ht="24.75" customHeight="1" thickBot="1">
      <c r="B38" s="571" t="s">
        <v>29</v>
      </c>
      <c r="C38" s="567">
        <v>67</v>
      </c>
      <c r="D38" s="387">
        <v>87</v>
      </c>
      <c r="E38" s="567">
        <v>106</v>
      </c>
      <c r="F38" s="387">
        <v>93</v>
      </c>
      <c r="G38" s="568">
        <v>90</v>
      </c>
      <c r="H38" s="567">
        <v>84</v>
      </c>
      <c r="I38" s="363">
        <f t="shared" si="23"/>
        <v>527</v>
      </c>
      <c r="J38" s="1080"/>
      <c r="K38" s="1073"/>
      <c r="L38" s="1073"/>
      <c r="M38" s="1081"/>
      <c r="N38" s="572"/>
      <c r="O38" s="433">
        <v>0</v>
      </c>
      <c r="P38" s="394">
        <v>0</v>
      </c>
      <c r="Q38" s="573">
        <v>0</v>
      </c>
      <c r="R38" s="435"/>
      <c r="S38" s="430">
        <f t="shared" si="22"/>
        <v>527</v>
      </c>
      <c r="U38" s="13">
        <v>0</v>
      </c>
    </row>
    <row r="39" spans="2:21" ht="26.25" customHeight="1" thickBot="1">
      <c r="B39" s="571" t="s">
        <v>30</v>
      </c>
      <c r="C39" s="567">
        <v>70</v>
      </c>
      <c r="D39" s="387">
        <v>72</v>
      </c>
      <c r="E39" s="567">
        <v>79</v>
      </c>
      <c r="F39" s="387">
        <v>69</v>
      </c>
      <c r="G39" s="568">
        <v>77</v>
      </c>
      <c r="H39" s="567">
        <v>66</v>
      </c>
      <c r="I39" s="363">
        <f t="shared" si="23"/>
        <v>433</v>
      </c>
      <c r="J39" s="1080"/>
      <c r="K39" s="1073"/>
      <c r="L39" s="1073"/>
      <c r="M39" s="1081"/>
      <c r="N39" s="572"/>
      <c r="O39" s="433">
        <v>0</v>
      </c>
      <c r="P39" s="394">
        <v>0</v>
      </c>
      <c r="Q39" s="573">
        <v>0</v>
      </c>
      <c r="R39" s="435"/>
      <c r="S39" s="430">
        <f t="shared" si="22"/>
        <v>433</v>
      </c>
      <c r="U39" s="13">
        <v>0</v>
      </c>
    </row>
    <row r="40" spans="2:21" ht="24.75" customHeight="1" thickBot="1">
      <c r="B40" s="571" t="s">
        <v>31</v>
      </c>
      <c r="C40" s="567">
        <v>14</v>
      </c>
      <c r="D40" s="387">
        <v>34</v>
      </c>
      <c r="E40" s="567">
        <v>22</v>
      </c>
      <c r="F40" s="387">
        <v>20</v>
      </c>
      <c r="G40" s="568">
        <v>35</v>
      </c>
      <c r="H40" s="567">
        <v>35</v>
      </c>
      <c r="I40" s="363">
        <f t="shared" si="23"/>
        <v>160</v>
      </c>
      <c r="J40" s="1080"/>
      <c r="K40" s="1073"/>
      <c r="L40" s="1073"/>
      <c r="M40" s="1081"/>
      <c r="N40" s="572"/>
      <c r="O40" s="433">
        <v>0</v>
      </c>
      <c r="P40" s="394">
        <v>0</v>
      </c>
      <c r="Q40" s="573">
        <v>0</v>
      </c>
      <c r="R40" s="435"/>
      <c r="S40" s="430">
        <f t="shared" si="22"/>
        <v>160</v>
      </c>
      <c r="U40" s="13" t="s">
        <v>221</v>
      </c>
    </row>
    <row r="41" spans="2:21" ht="23.25" customHeight="1" thickBot="1">
      <c r="B41" s="571" t="s">
        <v>32</v>
      </c>
      <c r="C41" s="567">
        <v>50</v>
      </c>
      <c r="D41" s="387">
        <v>45</v>
      </c>
      <c r="E41" s="567">
        <v>60</v>
      </c>
      <c r="F41" s="387">
        <v>76</v>
      </c>
      <c r="G41" s="568">
        <v>63</v>
      </c>
      <c r="H41" s="567">
        <v>47</v>
      </c>
      <c r="I41" s="363">
        <f t="shared" si="23"/>
        <v>341</v>
      </c>
      <c r="J41" s="1080"/>
      <c r="K41" s="1073"/>
      <c r="L41" s="1073"/>
      <c r="M41" s="1081"/>
      <c r="N41" s="572"/>
      <c r="O41" s="433">
        <v>0</v>
      </c>
      <c r="P41" s="394">
        <v>0</v>
      </c>
      <c r="Q41" s="573">
        <v>0</v>
      </c>
      <c r="R41" s="435"/>
      <c r="S41" s="430">
        <f t="shared" si="22"/>
        <v>341</v>
      </c>
      <c r="U41" s="13" t="s">
        <v>221</v>
      </c>
    </row>
    <row r="42" spans="2:21" ht="24" customHeight="1" thickBot="1">
      <c r="B42" s="571" t="s">
        <v>216</v>
      </c>
      <c r="C42" s="567">
        <v>45</v>
      </c>
      <c r="D42" s="387">
        <v>66</v>
      </c>
      <c r="E42" s="567">
        <v>76</v>
      </c>
      <c r="F42" s="387">
        <v>74</v>
      </c>
      <c r="G42" s="568">
        <v>89</v>
      </c>
      <c r="H42" s="567">
        <v>75</v>
      </c>
      <c r="I42" s="363">
        <f t="shared" si="23"/>
        <v>425</v>
      </c>
      <c r="J42" s="1080"/>
      <c r="K42" s="1073"/>
      <c r="L42" s="1073"/>
      <c r="M42" s="1081"/>
      <c r="N42" s="572"/>
      <c r="O42" s="433">
        <v>0</v>
      </c>
      <c r="P42" s="394">
        <v>0</v>
      </c>
      <c r="Q42" s="573">
        <v>0</v>
      </c>
      <c r="R42" s="435"/>
      <c r="S42" s="430">
        <f t="shared" si="22"/>
        <v>425</v>
      </c>
      <c r="U42" s="13" t="s">
        <v>221</v>
      </c>
    </row>
    <row r="43" spans="2:21" ht="27" customHeight="1" thickBot="1">
      <c r="B43" s="571" t="s">
        <v>33</v>
      </c>
      <c r="C43" s="567">
        <v>39</v>
      </c>
      <c r="D43" s="387">
        <v>37</v>
      </c>
      <c r="E43" s="567">
        <v>57</v>
      </c>
      <c r="F43" s="387">
        <v>33</v>
      </c>
      <c r="G43" s="568">
        <v>40</v>
      </c>
      <c r="H43" s="567">
        <v>45</v>
      </c>
      <c r="I43" s="363">
        <f t="shared" si="23"/>
        <v>251</v>
      </c>
      <c r="J43" s="1080"/>
      <c r="K43" s="1073"/>
      <c r="L43" s="1073"/>
      <c r="M43" s="1081"/>
      <c r="N43" s="572"/>
      <c r="O43" s="433"/>
      <c r="P43" s="394"/>
      <c r="Q43" s="573"/>
      <c r="R43" s="435"/>
      <c r="S43" s="430">
        <f t="shared" si="22"/>
        <v>251</v>
      </c>
      <c r="U43" s="13">
        <v>0</v>
      </c>
    </row>
    <row r="44" spans="2:21" ht="23.25" customHeight="1" thickBot="1">
      <c r="B44" s="571" t="s">
        <v>34</v>
      </c>
      <c r="C44" s="567">
        <v>50</v>
      </c>
      <c r="D44" s="387">
        <v>74</v>
      </c>
      <c r="E44" s="567">
        <v>94</v>
      </c>
      <c r="F44" s="387">
        <v>64</v>
      </c>
      <c r="G44" s="568">
        <v>67</v>
      </c>
      <c r="H44" s="567">
        <v>66</v>
      </c>
      <c r="I44" s="363">
        <f t="shared" si="23"/>
        <v>415</v>
      </c>
      <c r="J44" s="1080"/>
      <c r="K44" s="1073"/>
      <c r="L44" s="1073"/>
      <c r="M44" s="1081"/>
      <c r="N44" s="572"/>
      <c r="O44" s="433"/>
      <c r="P44" s="394"/>
      <c r="Q44" s="573"/>
      <c r="R44" s="435"/>
      <c r="S44" s="430">
        <f t="shared" si="22"/>
        <v>415</v>
      </c>
      <c r="U44" s="13">
        <v>0</v>
      </c>
    </row>
    <row r="45" spans="2:21" s="37" customFormat="1" ht="23.25" customHeight="1">
      <c r="B45" s="571" t="s">
        <v>285</v>
      </c>
      <c r="C45" s="567">
        <v>99</v>
      </c>
      <c r="D45" s="387">
        <v>101</v>
      </c>
      <c r="E45" s="567">
        <v>110</v>
      </c>
      <c r="F45" s="387">
        <v>98</v>
      </c>
      <c r="G45" s="568">
        <v>96</v>
      </c>
      <c r="H45" s="567">
        <v>72</v>
      </c>
      <c r="I45" s="363">
        <f t="shared" si="23"/>
        <v>576</v>
      </c>
      <c r="J45" s="1080"/>
      <c r="K45" s="1073"/>
      <c r="L45" s="1073"/>
      <c r="M45" s="1081"/>
      <c r="N45" s="572"/>
      <c r="O45" s="433"/>
      <c r="P45" s="394"/>
      <c r="Q45" s="573"/>
      <c r="R45" s="435"/>
      <c r="S45" s="430">
        <f t="shared" si="22"/>
        <v>576</v>
      </c>
      <c r="U45" s="34"/>
    </row>
    <row r="46" spans="2:21" ht="27" customHeight="1" thickBot="1">
      <c r="B46" s="571" t="s">
        <v>35</v>
      </c>
      <c r="C46" s="567">
        <v>54</v>
      </c>
      <c r="D46" s="387">
        <v>58</v>
      </c>
      <c r="E46" s="567">
        <v>76</v>
      </c>
      <c r="F46" s="387">
        <v>75</v>
      </c>
      <c r="G46" s="568">
        <v>66</v>
      </c>
      <c r="H46" s="567">
        <v>67</v>
      </c>
      <c r="I46" s="371">
        <f t="shared" ref="I46" si="24">H46+G46+F46+E46+D46+C46</f>
        <v>396</v>
      </c>
      <c r="J46" s="1089"/>
      <c r="K46" s="1090"/>
      <c r="L46" s="1090"/>
      <c r="M46" s="1091"/>
      <c r="N46" s="572"/>
      <c r="O46" s="433">
        <v>0</v>
      </c>
      <c r="P46" s="394">
        <v>0</v>
      </c>
      <c r="Q46" s="573">
        <v>0</v>
      </c>
      <c r="R46" s="435"/>
      <c r="S46" s="430">
        <f t="shared" si="22"/>
        <v>396</v>
      </c>
      <c r="U46" s="13" t="s">
        <v>221</v>
      </c>
    </row>
    <row r="47" spans="2:21" ht="25.5" customHeight="1" thickBot="1">
      <c r="B47" s="575" t="s">
        <v>36</v>
      </c>
      <c r="C47" s="951">
        <v>1</v>
      </c>
      <c r="D47" s="952"/>
      <c r="E47" s="952"/>
      <c r="F47" s="952"/>
      <c r="G47" s="952"/>
      <c r="H47" s="953"/>
      <c r="I47" s="576"/>
      <c r="J47" s="445">
        <v>263</v>
      </c>
      <c r="K47" s="446">
        <v>273</v>
      </c>
      <c r="L47" s="446">
        <v>198</v>
      </c>
      <c r="M47" s="447">
        <v>270</v>
      </c>
      <c r="N47" s="402">
        <f t="shared" ref="N47:N54" si="25">SUM(J47:M47)</f>
        <v>1004</v>
      </c>
      <c r="O47" s="433">
        <v>0</v>
      </c>
      <c r="P47" s="394">
        <v>0</v>
      </c>
      <c r="Q47" s="573">
        <v>0</v>
      </c>
      <c r="R47" s="435"/>
      <c r="S47" s="430">
        <f t="shared" si="22"/>
        <v>1004</v>
      </c>
    </row>
    <row r="48" spans="2:21" ht="27" customHeight="1">
      <c r="B48" s="575" t="s">
        <v>37</v>
      </c>
      <c r="C48" s="951"/>
      <c r="D48" s="952"/>
      <c r="E48" s="952"/>
      <c r="F48" s="952"/>
      <c r="G48" s="952"/>
      <c r="H48" s="953"/>
      <c r="I48" s="576"/>
      <c r="J48" s="449">
        <v>294</v>
      </c>
      <c r="K48" s="450">
        <v>189</v>
      </c>
      <c r="L48" s="450">
        <v>122</v>
      </c>
      <c r="M48" s="451">
        <v>123</v>
      </c>
      <c r="N48" s="577">
        <f t="shared" si="25"/>
        <v>728</v>
      </c>
      <c r="O48" s="433">
        <v>0</v>
      </c>
      <c r="P48" s="394">
        <v>0</v>
      </c>
      <c r="Q48" s="573">
        <v>0</v>
      </c>
      <c r="R48" s="435"/>
      <c r="S48" s="430">
        <f t="shared" si="22"/>
        <v>728</v>
      </c>
    </row>
    <row r="49" spans="2:20" ht="22.5" customHeight="1">
      <c r="B49" s="578" t="s">
        <v>38</v>
      </c>
      <c r="C49" s="951"/>
      <c r="D49" s="952"/>
      <c r="E49" s="952"/>
      <c r="F49" s="952"/>
      <c r="G49" s="952"/>
      <c r="H49" s="953"/>
      <c r="I49" s="576"/>
      <c r="J49" s="449">
        <v>278</v>
      </c>
      <c r="K49" s="450">
        <v>203</v>
      </c>
      <c r="L49" s="450">
        <v>213</v>
      </c>
      <c r="M49" s="451">
        <v>127</v>
      </c>
      <c r="N49" s="579">
        <f t="shared" si="25"/>
        <v>821</v>
      </c>
      <c r="O49" s="433">
        <v>0</v>
      </c>
      <c r="P49" s="394">
        <v>0</v>
      </c>
      <c r="Q49" s="573">
        <v>0</v>
      </c>
      <c r="R49" s="435"/>
      <c r="S49" s="430">
        <f t="shared" si="22"/>
        <v>821</v>
      </c>
    </row>
    <row r="50" spans="2:20" ht="23.25" customHeight="1">
      <c r="B50" s="575" t="s">
        <v>39</v>
      </c>
      <c r="C50" s="951"/>
      <c r="D50" s="952"/>
      <c r="E50" s="952"/>
      <c r="F50" s="952"/>
      <c r="G50" s="952"/>
      <c r="H50" s="953"/>
      <c r="I50" s="576"/>
      <c r="J50" s="449">
        <v>325</v>
      </c>
      <c r="K50" s="450">
        <v>209</v>
      </c>
      <c r="L50" s="450">
        <v>179</v>
      </c>
      <c r="M50" s="451">
        <v>147</v>
      </c>
      <c r="N50" s="579">
        <f t="shared" si="25"/>
        <v>860</v>
      </c>
      <c r="O50" s="433">
        <v>0</v>
      </c>
      <c r="P50" s="394">
        <v>0</v>
      </c>
      <c r="Q50" s="573">
        <v>0</v>
      </c>
      <c r="R50" s="435"/>
      <c r="S50" s="430">
        <f t="shared" si="22"/>
        <v>860</v>
      </c>
    </row>
    <row r="51" spans="2:20" ht="27.75" customHeight="1">
      <c r="B51" s="575" t="s">
        <v>228</v>
      </c>
      <c r="C51" s="951"/>
      <c r="D51" s="952"/>
      <c r="E51" s="952"/>
      <c r="F51" s="952"/>
      <c r="G51" s="952"/>
      <c r="H51" s="953"/>
      <c r="I51" s="576"/>
      <c r="J51" s="709">
        <v>280</v>
      </c>
      <c r="K51" s="710">
        <v>215</v>
      </c>
      <c r="L51" s="710">
        <v>109</v>
      </c>
      <c r="M51" s="711">
        <v>98</v>
      </c>
      <c r="N51" s="712">
        <f>M51+L51+K51+J51</f>
        <v>702</v>
      </c>
      <c r="O51" s="433">
        <v>0</v>
      </c>
      <c r="P51" s="394">
        <v>0</v>
      </c>
      <c r="Q51" s="573">
        <v>0</v>
      </c>
      <c r="R51" s="435"/>
      <c r="S51" s="430">
        <f t="shared" si="22"/>
        <v>702</v>
      </c>
    </row>
    <row r="52" spans="2:20" ht="22.5" customHeight="1" thickBot="1">
      <c r="B52" s="578" t="s">
        <v>40</v>
      </c>
      <c r="C52" s="951"/>
      <c r="D52" s="952"/>
      <c r="E52" s="952"/>
      <c r="F52" s="952"/>
      <c r="G52" s="952"/>
      <c r="H52" s="953"/>
      <c r="I52" s="576"/>
      <c r="J52" s="580">
        <v>253</v>
      </c>
      <c r="K52" s="581">
        <v>241</v>
      </c>
      <c r="L52" s="581">
        <v>250</v>
      </c>
      <c r="M52" s="582">
        <v>147</v>
      </c>
      <c r="N52" s="583">
        <f t="shared" si="25"/>
        <v>891</v>
      </c>
      <c r="O52" s="518"/>
      <c r="P52" s="492"/>
      <c r="Q52" s="584"/>
      <c r="R52" s="435"/>
      <c r="S52" s="430">
        <f t="shared" si="22"/>
        <v>891</v>
      </c>
    </row>
    <row r="53" spans="2:20" ht="27" customHeight="1" thickBot="1">
      <c r="B53" s="585" t="s">
        <v>41</v>
      </c>
      <c r="C53" s="951"/>
      <c r="D53" s="952"/>
      <c r="E53" s="952"/>
      <c r="F53" s="952"/>
      <c r="G53" s="952"/>
      <c r="H53" s="953"/>
      <c r="I53" s="586"/>
      <c r="J53" s="394">
        <v>0</v>
      </c>
      <c r="K53" s="394">
        <v>0</v>
      </c>
      <c r="L53" s="394">
        <v>0</v>
      </c>
      <c r="M53" s="394">
        <v>0</v>
      </c>
      <c r="N53" s="587">
        <f t="shared" si="25"/>
        <v>0</v>
      </c>
      <c r="O53" s="498">
        <v>303</v>
      </c>
      <c r="P53" s="588">
        <v>216</v>
      </c>
      <c r="Q53" s="589">
        <v>255</v>
      </c>
      <c r="R53" s="590">
        <f t="shared" ref="R53:R54" si="26">SUM(O53:Q53)</f>
        <v>774</v>
      </c>
      <c r="S53" s="430">
        <f t="shared" si="22"/>
        <v>774</v>
      </c>
    </row>
    <row r="54" spans="2:20" ht="27.75" customHeight="1" thickBot="1">
      <c r="B54" s="591" t="s">
        <v>42</v>
      </c>
      <c r="C54" s="954"/>
      <c r="D54" s="955"/>
      <c r="E54" s="955"/>
      <c r="F54" s="955"/>
      <c r="G54" s="955"/>
      <c r="H54" s="956"/>
      <c r="I54" s="592"/>
      <c r="J54" s="492">
        <v>0</v>
      </c>
      <c r="K54" s="492">
        <v>0</v>
      </c>
      <c r="L54" s="492">
        <v>0</v>
      </c>
      <c r="M54" s="492">
        <v>0</v>
      </c>
      <c r="N54" s="593">
        <f t="shared" si="25"/>
        <v>0</v>
      </c>
      <c r="O54" s="594">
        <v>151</v>
      </c>
      <c r="P54" s="594">
        <v>108</v>
      </c>
      <c r="Q54" s="594">
        <v>129</v>
      </c>
      <c r="R54" s="595">
        <f t="shared" si="26"/>
        <v>388</v>
      </c>
      <c r="S54" s="564">
        <f t="shared" si="22"/>
        <v>388</v>
      </c>
    </row>
    <row r="55" spans="2:20" ht="31.5" customHeight="1" thickBot="1">
      <c r="B55" s="596" t="s">
        <v>23</v>
      </c>
      <c r="C55" s="597">
        <f t="shared" ref="C55:G55" si="27">C30+C31+C32+C33+C34+C35+C36+C37+C38+C39+C40+C41+C42+C43+C44+C45+C46</f>
        <v>882</v>
      </c>
      <c r="D55" s="597">
        <f t="shared" si="27"/>
        <v>1049</v>
      </c>
      <c r="E55" s="597">
        <f t="shared" si="27"/>
        <v>1249</v>
      </c>
      <c r="F55" s="597">
        <f t="shared" si="27"/>
        <v>1125</v>
      </c>
      <c r="G55" s="597">
        <f t="shared" si="27"/>
        <v>1164</v>
      </c>
      <c r="H55" s="597">
        <f>H30+H31+H32+H33+H34+H35+H36+H37+H38+H39+H40+H41+H42+H43+H44+H45+H46</f>
        <v>1041</v>
      </c>
      <c r="I55" s="597">
        <f>H55+G55+F55+E55+D55+C55</f>
        <v>6510</v>
      </c>
      <c r="J55" s="598">
        <f>SUM(J30:J54)</f>
        <v>1693</v>
      </c>
      <c r="K55" s="598">
        <f>SUM(K30:K54)</f>
        <v>1330</v>
      </c>
      <c r="L55" s="598">
        <f>SUM(L30:L54)</f>
        <v>1071</v>
      </c>
      <c r="M55" s="598">
        <f>SUM(M30:M54)</f>
        <v>912</v>
      </c>
      <c r="N55" s="599">
        <f>N47+N48+N49+N50+N51+N52</f>
        <v>5006</v>
      </c>
      <c r="O55" s="600">
        <f>O53+O54</f>
        <v>454</v>
      </c>
      <c r="P55" s="601">
        <f>SUM(P30:P54)</f>
        <v>324</v>
      </c>
      <c r="Q55" s="602">
        <f>SUM(Q30:Q54)</f>
        <v>384</v>
      </c>
      <c r="R55" s="603">
        <f>R53+R54</f>
        <v>1162</v>
      </c>
      <c r="S55" s="604">
        <f>R55+N55+I55</f>
        <v>12678</v>
      </c>
      <c r="T55" s="27"/>
    </row>
    <row r="56" spans="2:20" s="37" customFormat="1" ht="31.5" customHeight="1">
      <c r="B56" s="605"/>
      <c r="C56" s="606"/>
      <c r="D56" s="606"/>
      <c r="E56" s="606"/>
      <c r="F56" s="606"/>
      <c r="G56" s="606"/>
      <c r="H56" s="606"/>
      <c r="I56" s="606"/>
      <c r="J56" s="607"/>
      <c r="K56" s="607"/>
      <c r="L56" s="607"/>
      <c r="M56" s="607"/>
      <c r="N56" s="607"/>
      <c r="O56" s="608"/>
      <c r="P56" s="608"/>
      <c r="Q56" s="608"/>
      <c r="R56" s="609"/>
      <c r="S56" s="610"/>
      <c r="T56" s="27"/>
    </row>
    <row r="57" spans="2:20" s="37" customFormat="1" ht="31.5" customHeight="1">
      <c r="B57" s="605"/>
      <c r="C57" s="606"/>
      <c r="D57" s="606"/>
      <c r="E57" s="606"/>
      <c r="F57" s="606"/>
      <c r="G57" s="606"/>
      <c r="H57" s="606"/>
      <c r="I57" s="606"/>
      <c r="J57" s="607"/>
      <c r="K57" s="607"/>
      <c r="L57" s="607"/>
      <c r="M57" s="607"/>
      <c r="N57" s="607"/>
      <c r="O57" s="608"/>
      <c r="P57" s="608"/>
      <c r="Q57" s="608"/>
      <c r="R57" s="609"/>
      <c r="S57" s="610"/>
      <c r="T57" s="27"/>
    </row>
    <row r="58" spans="2:20" s="37" customFormat="1" ht="31.5" customHeight="1">
      <c r="B58" s="605"/>
      <c r="C58" s="606"/>
      <c r="D58" s="606"/>
      <c r="E58" s="606"/>
      <c r="F58" s="606"/>
      <c r="G58" s="606"/>
      <c r="H58" s="606"/>
      <c r="I58" s="606"/>
      <c r="J58" s="607"/>
      <c r="K58" s="607"/>
      <c r="L58" s="607"/>
      <c r="M58" s="607"/>
      <c r="N58" s="607"/>
      <c r="O58" s="608"/>
      <c r="P58" s="608"/>
      <c r="Q58" s="608"/>
      <c r="R58" s="609"/>
      <c r="S58" s="610"/>
      <c r="T58" s="27"/>
    </row>
    <row r="59" spans="2:20" ht="45.75" customHeight="1">
      <c r="B59" s="1051" t="s">
        <v>4</v>
      </c>
      <c r="C59" s="1051"/>
      <c r="D59" s="1051"/>
      <c r="E59" s="1051"/>
      <c r="F59" s="1051"/>
      <c r="G59" s="1051"/>
      <c r="H59" s="1051"/>
      <c r="I59" s="1051"/>
      <c r="J59" s="1051"/>
      <c r="K59" s="1051"/>
      <c r="L59" s="1051"/>
      <c r="M59" s="1051"/>
      <c r="N59" s="1051"/>
      <c r="O59" s="1051"/>
      <c r="P59" s="1051"/>
      <c r="Q59" s="1051"/>
      <c r="R59" s="1051"/>
      <c r="S59" s="1051"/>
    </row>
    <row r="60" spans="2:20" ht="23.25">
      <c r="B60" s="1051" t="s">
        <v>211</v>
      </c>
      <c r="C60" s="1051"/>
      <c r="D60" s="1051"/>
      <c r="E60" s="1051"/>
      <c r="F60" s="1051"/>
      <c r="G60" s="1051"/>
      <c r="H60" s="1051"/>
      <c r="I60" s="1051"/>
      <c r="J60" s="1051"/>
      <c r="K60" s="1051"/>
      <c r="L60" s="1051"/>
      <c r="M60" s="1051"/>
      <c r="N60" s="1051"/>
      <c r="O60" s="1051"/>
      <c r="P60" s="1051"/>
      <c r="Q60" s="1051"/>
      <c r="R60" s="1051"/>
      <c r="S60" s="1051"/>
    </row>
    <row r="61" spans="2:20" ht="23.25">
      <c r="B61" s="1051" t="s">
        <v>219</v>
      </c>
      <c r="C61" s="1051"/>
      <c r="D61" s="1051"/>
      <c r="E61" s="1051"/>
      <c r="F61" s="1051"/>
      <c r="G61" s="1051"/>
      <c r="H61" s="1051"/>
      <c r="I61" s="1051"/>
      <c r="J61" s="1051"/>
      <c r="K61" s="1051"/>
      <c r="L61" s="1051"/>
      <c r="M61" s="1051"/>
      <c r="N61" s="1051"/>
      <c r="O61" s="1051"/>
      <c r="P61" s="1051"/>
      <c r="Q61" s="1051"/>
      <c r="R61" s="1051"/>
      <c r="S61" s="1051"/>
    </row>
    <row r="62" spans="2:20" ht="24" thickBot="1">
      <c r="B62" s="1075" t="s">
        <v>5</v>
      </c>
      <c r="C62" s="1075"/>
      <c r="D62" s="1075"/>
      <c r="E62" s="1075"/>
      <c r="F62" s="1075" t="s">
        <v>291</v>
      </c>
      <c r="G62" s="1075"/>
      <c r="H62" s="1075"/>
      <c r="I62" s="1075"/>
      <c r="J62" s="1075"/>
      <c r="K62" s="1075"/>
      <c r="L62" s="1075"/>
      <c r="M62" s="1075"/>
      <c r="N62" s="1075"/>
      <c r="O62" s="1075"/>
      <c r="P62" s="1056"/>
      <c r="Q62" s="1056"/>
      <c r="R62" s="1056"/>
      <c r="S62" s="757"/>
    </row>
    <row r="63" spans="2:20" ht="18.75">
      <c r="B63" s="611"/>
      <c r="C63" s="1057" t="s">
        <v>6</v>
      </c>
      <c r="D63" s="1057"/>
      <c r="E63" s="1057"/>
      <c r="F63" s="1057"/>
      <c r="G63" s="1057"/>
      <c r="H63" s="1057"/>
      <c r="I63" s="1058"/>
      <c r="J63" s="1061" t="s">
        <v>7</v>
      </c>
      <c r="K63" s="1062"/>
      <c r="L63" s="1062"/>
      <c r="M63" s="1062"/>
      <c r="N63" s="1063"/>
      <c r="O63" s="1067" t="s">
        <v>8</v>
      </c>
      <c r="P63" s="1068"/>
      <c r="Q63" s="1068"/>
      <c r="R63" s="1068"/>
      <c r="S63" s="612"/>
    </row>
    <row r="64" spans="2:20" ht="18.75" thickBot="1">
      <c r="B64" s="613" t="s">
        <v>3</v>
      </c>
      <c r="C64" s="1059"/>
      <c r="D64" s="1059"/>
      <c r="E64" s="1059"/>
      <c r="F64" s="1059"/>
      <c r="G64" s="1059"/>
      <c r="H64" s="1059"/>
      <c r="I64" s="1060"/>
      <c r="J64" s="1064"/>
      <c r="K64" s="1065"/>
      <c r="L64" s="1065"/>
      <c r="M64" s="1065"/>
      <c r="N64" s="1066"/>
      <c r="O64" s="1069"/>
      <c r="P64" s="1070"/>
      <c r="Q64" s="1070"/>
      <c r="R64" s="1070"/>
      <c r="S64" s="614" t="s">
        <v>0</v>
      </c>
    </row>
    <row r="65" spans="2:21" ht="19.5" thickBot="1">
      <c r="B65" s="613"/>
      <c r="C65" s="615" t="s">
        <v>10</v>
      </c>
      <c r="D65" s="616" t="s">
        <v>11</v>
      </c>
      <c r="E65" s="616" t="s">
        <v>12</v>
      </c>
      <c r="F65" s="616" t="s">
        <v>13</v>
      </c>
      <c r="G65" s="616" t="s">
        <v>14</v>
      </c>
      <c r="H65" s="617" t="s">
        <v>15</v>
      </c>
      <c r="I65" s="618" t="s">
        <v>16</v>
      </c>
      <c r="J65" s="619" t="s">
        <v>11</v>
      </c>
      <c r="K65" s="620" t="s">
        <v>12</v>
      </c>
      <c r="L65" s="620" t="s">
        <v>13</v>
      </c>
      <c r="M65" s="621" t="s">
        <v>14</v>
      </c>
      <c r="N65" s="618" t="s">
        <v>16</v>
      </c>
      <c r="O65" s="619" t="s">
        <v>11</v>
      </c>
      <c r="P65" s="621" t="s">
        <v>12</v>
      </c>
      <c r="Q65" s="620" t="s">
        <v>13</v>
      </c>
      <c r="R65" s="622" t="s">
        <v>16</v>
      </c>
      <c r="S65" s="623"/>
      <c r="U65" s="14" t="s">
        <v>220</v>
      </c>
    </row>
    <row r="66" spans="2:21" ht="20.25" customHeight="1">
      <c r="B66" s="733" t="s">
        <v>43</v>
      </c>
      <c r="C66" s="724">
        <v>60</v>
      </c>
      <c r="D66" s="724">
        <v>74</v>
      </c>
      <c r="E66" s="724">
        <v>73</v>
      </c>
      <c r="F66" s="724">
        <v>58</v>
      </c>
      <c r="G66" s="724">
        <v>64</v>
      </c>
      <c r="H66" s="725">
        <v>67</v>
      </c>
      <c r="I66" s="726">
        <f>H66+G66+F66+E66+D66+C66</f>
        <v>396</v>
      </c>
      <c r="J66" s="1071"/>
      <c r="K66" s="1071"/>
      <c r="L66" s="1071"/>
      <c r="M66" s="1072"/>
      <c r="N66" s="1052"/>
      <c r="O66" s="427">
        <v>0</v>
      </c>
      <c r="P66" s="390">
        <v>0</v>
      </c>
      <c r="Q66" s="390">
        <v>0</v>
      </c>
      <c r="R66" s="429"/>
      <c r="S66" s="430">
        <f t="shared" ref="S66:S78" si="28">R66+N66+I66</f>
        <v>396</v>
      </c>
      <c r="U66" s="13" t="s">
        <v>221</v>
      </c>
    </row>
    <row r="67" spans="2:21" ht="18.75" customHeight="1">
      <c r="B67" s="734" t="s">
        <v>214</v>
      </c>
      <c r="C67" s="727">
        <v>40</v>
      </c>
      <c r="D67" s="727">
        <v>50</v>
      </c>
      <c r="E67" s="727">
        <v>53</v>
      </c>
      <c r="F67" s="727">
        <v>53</v>
      </c>
      <c r="G67" s="727">
        <v>56</v>
      </c>
      <c r="H67" s="728">
        <v>49</v>
      </c>
      <c r="I67" s="729">
        <f t="shared" ref="I67:I83" si="29">H67+G67+F67+E67+D67+C67</f>
        <v>301</v>
      </c>
      <c r="J67" s="1073"/>
      <c r="K67" s="1073"/>
      <c r="L67" s="1073"/>
      <c r="M67" s="1074"/>
      <c r="N67" s="1053"/>
      <c r="O67" s="433">
        <v>0</v>
      </c>
      <c r="P67" s="394">
        <v>0</v>
      </c>
      <c r="Q67" s="394">
        <v>0</v>
      </c>
      <c r="R67" s="435"/>
      <c r="S67" s="430">
        <f t="shared" si="28"/>
        <v>301</v>
      </c>
      <c r="U67" s="13" t="s">
        <v>221</v>
      </c>
    </row>
    <row r="68" spans="2:21" ht="21.75" customHeight="1">
      <c r="B68" s="734" t="s">
        <v>44</v>
      </c>
      <c r="C68" s="727">
        <v>61</v>
      </c>
      <c r="D68" s="727">
        <v>69</v>
      </c>
      <c r="E68" s="727">
        <v>77</v>
      </c>
      <c r="F68" s="727">
        <v>60</v>
      </c>
      <c r="G68" s="727">
        <v>59</v>
      </c>
      <c r="H68" s="728">
        <v>86</v>
      </c>
      <c r="I68" s="729">
        <f t="shared" si="29"/>
        <v>412</v>
      </c>
      <c r="J68" s="1073"/>
      <c r="K68" s="1073"/>
      <c r="L68" s="1073"/>
      <c r="M68" s="1074"/>
      <c r="N68" s="1053"/>
      <c r="O68" s="433">
        <v>0</v>
      </c>
      <c r="P68" s="394">
        <v>0</v>
      </c>
      <c r="Q68" s="394">
        <v>0</v>
      </c>
      <c r="R68" s="435"/>
      <c r="S68" s="430">
        <f t="shared" si="28"/>
        <v>412</v>
      </c>
      <c r="U68" s="13">
        <v>0</v>
      </c>
    </row>
    <row r="69" spans="2:21" ht="21.75" customHeight="1">
      <c r="B69" s="734" t="s">
        <v>45</v>
      </c>
      <c r="C69" s="727">
        <v>77</v>
      </c>
      <c r="D69" s="727">
        <v>87</v>
      </c>
      <c r="E69" s="727">
        <v>110</v>
      </c>
      <c r="F69" s="727">
        <v>109</v>
      </c>
      <c r="G69" s="727">
        <v>85</v>
      </c>
      <c r="H69" s="728">
        <v>87</v>
      </c>
      <c r="I69" s="729">
        <f t="shared" si="29"/>
        <v>555</v>
      </c>
      <c r="J69" s="1073"/>
      <c r="K69" s="1073"/>
      <c r="L69" s="1073"/>
      <c r="M69" s="1074"/>
      <c r="N69" s="1053"/>
      <c r="O69" s="433">
        <v>0</v>
      </c>
      <c r="P69" s="394">
        <v>0</v>
      </c>
      <c r="Q69" s="394">
        <v>0</v>
      </c>
      <c r="R69" s="435"/>
      <c r="S69" s="430">
        <f t="shared" si="28"/>
        <v>555</v>
      </c>
      <c r="U69" s="13" t="s">
        <v>221</v>
      </c>
    </row>
    <row r="70" spans="2:21" ht="21" customHeight="1">
      <c r="B70" s="734" t="s">
        <v>46</v>
      </c>
      <c r="C70" s="727">
        <v>38</v>
      </c>
      <c r="D70" s="727">
        <v>30</v>
      </c>
      <c r="E70" s="727">
        <v>34</v>
      </c>
      <c r="F70" s="727">
        <v>36</v>
      </c>
      <c r="G70" s="727">
        <v>32</v>
      </c>
      <c r="H70" s="728">
        <v>35</v>
      </c>
      <c r="I70" s="729">
        <f t="shared" si="29"/>
        <v>205</v>
      </c>
      <c r="J70" s="1073"/>
      <c r="K70" s="1073"/>
      <c r="L70" s="1073"/>
      <c r="M70" s="1074"/>
      <c r="N70" s="1053"/>
      <c r="O70" s="433">
        <v>0</v>
      </c>
      <c r="P70" s="394">
        <v>0</v>
      </c>
      <c r="Q70" s="394">
        <v>0</v>
      </c>
      <c r="R70" s="435"/>
      <c r="S70" s="430">
        <f t="shared" si="28"/>
        <v>205</v>
      </c>
      <c r="U70" s="13">
        <v>0</v>
      </c>
    </row>
    <row r="71" spans="2:21" ht="20.25" customHeight="1">
      <c r="B71" s="734" t="s">
        <v>47</v>
      </c>
      <c r="C71" s="727">
        <v>34</v>
      </c>
      <c r="D71" s="727">
        <v>45</v>
      </c>
      <c r="E71" s="727">
        <v>48</v>
      </c>
      <c r="F71" s="727">
        <v>58</v>
      </c>
      <c r="G71" s="727">
        <v>49</v>
      </c>
      <c r="H71" s="728">
        <v>39</v>
      </c>
      <c r="I71" s="729">
        <f t="shared" si="29"/>
        <v>273</v>
      </c>
      <c r="J71" s="1073"/>
      <c r="K71" s="1073"/>
      <c r="L71" s="1073"/>
      <c r="M71" s="1074"/>
      <c r="N71" s="1053"/>
      <c r="O71" s="433">
        <v>0</v>
      </c>
      <c r="P71" s="394">
        <v>0</v>
      </c>
      <c r="Q71" s="394">
        <v>0</v>
      </c>
      <c r="R71" s="435"/>
      <c r="S71" s="430">
        <f t="shared" si="28"/>
        <v>273</v>
      </c>
      <c r="U71" s="13">
        <v>0</v>
      </c>
    </row>
    <row r="72" spans="2:21" ht="18.75" customHeight="1">
      <c r="B72" s="734" t="s">
        <v>48</v>
      </c>
      <c r="C72" s="727">
        <v>90</v>
      </c>
      <c r="D72" s="727">
        <v>120</v>
      </c>
      <c r="E72" s="727">
        <v>116</v>
      </c>
      <c r="F72" s="727">
        <v>135</v>
      </c>
      <c r="G72" s="727">
        <v>115</v>
      </c>
      <c r="H72" s="728">
        <v>115</v>
      </c>
      <c r="I72" s="729">
        <f t="shared" si="29"/>
        <v>691</v>
      </c>
      <c r="J72" s="1073"/>
      <c r="K72" s="1073"/>
      <c r="L72" s="1073"/>
      <c r="M72" s="1074"/>
      <c r="N72" s="1053"/>
      <c r="O72" s="433">
        <v>0</v>
      </c>
      <c r="P72" s="394">
        <v>0</v>
      </c>
      <c r="Q72" s="394">
        <v>0</v>
      </c>
      <c r="R72" s="435"/>
      <c r="S72" s="430">
        <f t="shared" si="28"/>
        <v>691</v>
      </c>
      <c r="U72" s="13" t="s">
        <v>221</v>
      </c>
    </row>
    <row r="73" spans="2:21" ht="18.75" customHeight="1">
      <c r="B73" s="734" t="s">
        <v>49</v>
      </c>
      <c r="C73" s="727">
        <v>37</v>
      </c>
      <c r="D73" s="727">
        <v>62</v>
      </c>
      <c r="E73" s="727">
        <v>76</v>
      </c>
      <c r="F73" s="727">
        <v>66</v>
      </c>
      <c r="G73" s="727">
        <v>65</v>
      </c>
      <c r="H73" s="728">
        <v>67</v>
      </c>
      <c r="I73" s="729">
        <f t="shared" si="29"/>
        <v>373</v>
      </c>
      <c r="J73" s="1073"/>
      <c r="K73" s="1073"/>
      <c r="L73" s="1073"/>
      <c r="M73" s="1074"/>
      <c r="N73" s="1053"/>
      <c r="O73" s="433">
        <v>0</v>
      </c>
      <c r="P73" s="394">
        <v>0</v>
      </c>
      <c r="Q73" s="394">
        <v>0</v>
      </c>
      <c r="R73" s="435"/>
      <c r="S73" s="430">
        <f t="shared" si="28"/>
        <v>373</v>
      </c>
      <c r="U73" s="13">
        <v>0</v>
      </c>
    </row>
    <row r="74" spans="2:21" ht="20.25" customHeight="1">
      <c r="B74" s="734" t="s">
        <v>213</v>
      </c>
      <c r="C74" s="727">
        <v>46</v>
      </c>
      <c r="D74" s="727">
        <v>35</v>
      </c>
      <c r="E74" s="727">
        <v>60</v>
      </c>
      <c r="F74" s="727">
        <v>43</v>
      </c>
      <c r="G74" s="727">
        <v>52</v>
      </c>
      <c r="H74" s="728">
        <v>46</v>
      </c>
      <c r="I74" s="729">
        <f t="shared" si="29"/>
        <v>282</v>
      </c>
      <c r="J74" s="1073"/>
      <c r="K74" s="1073"/>
      <c r="L74" s="1073"/>
      <c r="M74" s="1074"/>
      <c r="N74" s="1053"/>
      <c r="O74" s="433">
        <v>0</v>
      </c>
      <c r="P74" s="394">
        <v>0</v>
      </c>
      <c r="Q74" s="394">
        <v>0</v>
      </c>
      <c r="R74" s="435"/>
      <c r="S74" s="430">
        <f t="shared" si="28"/>
        <v>282</v>
      </c>
      <c r="U74" s="13">
        <v>0</v>
      </c>
    </row>
    <row r="75" spans="2:21" ht="23.25" customHeight="1">
      <c r="B75" s="734" t="s">
        <v>50</v>
      </c>
      <c r="C75" s="727">
        <v>44</v>
      </c>
      <c r="D75" s="727">
        <v>53</v>
      </c>
      <c r="E75" s="727">
        <v>52</v>
      </c>
      <c r="F75" s="727">
        <v>66</v>
      </c>
      <c r="G75" s="727">
        <v>42</v>
      </c>
      <c r="H75" s="728">
        <v>56</v>
      </c>
      <c r="I75" s="729">
        <f t="shared" si="29"/>
        <v>313</v>
      </c>
      <c r="J75" s="1073"/>
      <c r="K75" s="1073"/>
      <c r="L75" s="1073"/>
      <c r="M75" s="1074"/>
      <c r="N75" s="1053"/>
      <c r="O75" s="433">
        <v>0</v>
      </c>
      <c r="P75" s="394">
        <v>0</v>
      </c>
      <c r="Q75" s="394">
        <v>0</v>
      </c>
      <c r="R75" s="435"/>
      <c r="S75" s="430">
        <f t="shared" si="28"/>
        <v>313</v>
      </c>
      <c r="U75" s="13" t="s">
        <v>221</v>
      </c>
    </row>
    <row r="76" spans="2:21" ht="19.5" customHeight="1">
      <c r="B76" s="734" t="s">
        <v>222</v>
      </c>
      <c r="C76" s="727">
        <v>51</v>
      </c>
      <c r="D76" s="727">
        <v>69</v>
      </c>
      <c r="E76" s="727">
        <v>64</v>
      </c>
      <c r="F76" s="727">
        <v>68</v>
      </c>
      <c r="G76" s="727">
        <v>59</v>
      </c>
      <c r="H76" s="728">
        <v>63</v>
      </c>
      <c r="I76" s="729">
        <f t="shared" si="29"/>
        <v>374</v>
      </c>
      <c r="J76" s="1073"/>
      <c r="K76" s="1073"/>
      <c r="L76" s="1073"/>
      <c r="M76" s="1074"/>
      <c r="N76" s="1053"/>
      <c r="O76" s="433">
        <v>0</v>
      </c>
      <c r="P76" s="394">
        <v>0</v>
      </c>
      <c r="Q76" s="394">
        <v>0</v>
      </c>
      <c r="R76" s="435"/>
      <c r="S76" s="430">
        <f t="shared" si="28"/>
        <v>374</v>
      </c>
      <c r="U76" s="13">
        <v>0</v>
      </c>
    </row>
    <row r="77" spans="2:21" ht="24" customHeight="1">
      <c r="B77" s="734" t="s">
        <v>51</v>
      </c>
      <c r="C77" s="727">
        <v>33</v>
      </c>
      <c r="D77" s="727">
        <v>56</v>
      </c>
      <c r="E77" s="727">
        <v>77</v>
      </c>
      <c r="F77" s="727">
        <v>52</v>
      </c>
      <c r="G77" s="727">
        <v>55</v>
      </c>
      <c r="H77" s="728">
        <v>49</v>
      </c>
      <c r="I77" s="729">
        <f t="shared" si="29"/>
        <v>322</v>
      </c>
      <c r="J77" s="1073"/>
      <c r="K77" s="1073"/>
      <c r="L77" s="1073"/>
      <c r="M77" s="1074"/>
      <c r="N77" s="1053"/>
      <c r="O77" s="433">
        <v>0</v>
      </c>
      <c r="P77" s="394">
        <v>0</v>
      </c>
      <c r="Q77" s="394">
        <v>0</v>
      </c>
      <c r="R77" s="435"/>
      <c r="S77" s="430">
        <f t="shared" si="28"/>
        <v>322</v>
      </c>
      <c r="U77" s="13">
        <v>0</v>
      </c>
    </row>
    <row r="78" spans="2:21" ht="20.25" customHeight="1">
      <c r="B78" s="735" t="s">
        <v>52</v>
      </c>
      <c r="C78" s="727">
        <v>43</v>
      </c>
      <c r="D78" s="727">
        <v>48</v>
      </c>
      <c r="E78" s="727">
        <v>69</v>
      </c>
      <c r="F78" s="727">
        <v>49</v>
      </c>
      <c r="G78" s="727">
        <v>56</v>
      </c>
      <c r="H78" s="728">
        <v>50</v>
      </c>
      <c r="I78" s="729">
        <f t="shared" si="29"/>
        <v>315</v>
      </c>
      <c r="J78" s="1073"/>
      <c r="K78" s="1073"/>
      <c r="L78" s="1073"/>
      <c r="M78" s="1074"/>
      <c r="N78" s="1053"/>
      <c r="O78" s="433"/>
      <c r="P78" s="394"/>
      <c r="Q78" s="394"/>
      <c r="R78" s="435"/>
      <c r="S78" s="430">
        <f t="shared" si="28"/>
        <v>315</v>
      </c>
      <c r="U78" s="13" t="s">
        <v>223</v>
      </c>
    </row>
    <row r="79" spans="2:21" ht="20.25" customHeight="1">
      <c r="B79" s="734" t="s">
        <v>53</v>
      </c>
      <c r="C79" s="727">
        <v>36</v>
      </c>
      <c r="D79" s="727">
        <v>43</v>
      </c>
      <c r="E79" s="727">
        <v>41</v>
      </c>
      <c r="F79" s="727">
        <v>39</v>
      </c>
      <c r="G79" s="727">
        <v>44</v>
      </c>
      <c r="H79" s="728">
        <v>55</v>
      </c>
      <c r="I79" s="729">
        <f t="shared" si="29"/>
        <v>258</v>
      </c>
      <c r="J79" s="1073"/>
      <c r="K79" s="1073"/>
      <c r="L79" s="1073"/>
      <c r="M79" s="1074"/>
      <c r="N79" s="1053"/>
      <c r="O79" s="433"/>
      <c r="P79" s="394"/>
      <c r="Q79" s="394"/>
      <c r="R79" s="435"/>
      <c r="S79" s="430">
        <f>R79+N79+I79</f>
        <v>258</v>
      </c>
      <c r="U79" s="13">
        <v>0</v>
      </c>
    </row>
    <row r="80" spans="2:21" ht="21" customHeight="1">
      <c r="B80" s="734" t="s">
        <v>54</v>
      </c>
      <c r="C80" s="727">
        <v>130</v>
      </c>
      <c r="D80" s="727">
        <v>108</v>
      </c>
      <c r="E80" s="727">
        <v>75</v>
      </c>
      <c r="F80" s="727">
        <v>73</v>
      </c>
      <c r="G80" s="727">
        <v>78</v>
      </c>
      <c r="H80" s="728">
        <v>63</v>
      </c>
      <c r="I80" s="729">
        <f t="shared" si="29"/>
        <v>527</v>
      </c>
      <c r="J80" s="1073"/>
      <c r="K80" s="1073"/>
      <c r="L80" s="1073"/>
      <c r="M80" s="1074"/>
      <c r="N80" s="1053"/>
      <c r="O80" s="433"/>
      <c r="P80" s="394"/>
      <c r="Q80" s="394"/>
      <c r="R80" s="435"/>
      <c r="S80" s="430">
        <f t="shared" ref="S80:S91" si="30">R80+N80+I80</f>
        <v>527</v>
      </c>
      <c r="U80" s="13">
        <v>0</v>
      </c>
    </row>
    <row r="81" spans="2:23" ht="18" customHeight="1" thickBot="1">
      <c r="B81" s="734" t="s">
        <v>55</v>
      </c>
      <c r="C81" s="727">
        <v>85</v>
      </c>
      <c r="D81" s="727">
        <v>108</v>
      </c>
      <c r="E81" s="727">
        <v>95</v>
      </c>
      <c r="F81" s="727">
        <v>80</v>
      </c>
      <c r="G81" s="727">
        <v>105</v>
      </c>
      <c r="H81" s="728">
        <v>88</v>
      </c>
      <c r="I81" s="729">
        <f t="shared" si="29"/>
        <v>561</v>
      </c>
      <c r="J81" s="1073"/>
      <c r="K81" s="1073"/>
      <c r="L81" s="1073"/>
      <c r="M81" s="1074"/>
      <c r="N81" s="1054"/>
      <c r="O81" s="433"/>
      <c r="P81" s="394"/>
      <c r="Q81" s="394"/>
      <c r="R81" s="435"/>
      <c r="S81" s="430">
        <f t="shared" si="30"/>
        <v>561</v>
      </c>
      <c r="U81" s="13" t="s">
        <v>221</v>
      </c>
    </row>
    <row r="82" spans="2:23" ht="20.25" customHeight="1">
      <c r="B82" s="734" t="s">
        <v>244</v>
      </c>
      <c r="C82" s="727">
        <v>32</v>
      </c>
      <c r="D82" s="727">
        <v>41</v>
      </c>
      <c r="E82" s="727">
        <v>50</v>
      </c>
      <c r="F82" s="727">
        <v>37</v>
      </c>
      <c r="G82" s="727">
        <v>44</v>
      </c>
      <c r="H82" s="728">
        <v>28</v>
      </c>
      <c r="I82" s="729">
        <f t="shared" si="29"/>
        <v>232</v>
      </c>
      <c r="J82" s="1073"/>
      <c r="K82" s="1073"/>
      <c r="L82" s="1073"/>
      <c r="M82" s="1074"/>
      <c r="N82" s="624"/>
      <c r="O82" s="433"/>
      <c r="P82" s="394"/>
      <c r="Q82" s="394"/>
      <c r="R82" s="435"/>
      <c r="S82" s="430">
        <f t="shared" si="30"/>
        <v>232</v>
      </c>
      <c r="U82" s="13">
        <v>0</v>
      </c>
    </row>
    <row r="83" spans="2:23" ht="24" customHeight="1" thickBot="1">
      <c r="B83" s="736" t="s">
        <v>286</v>
      </c>
      <c r="C83" s="730">
        <v>50</v>
      </c>
      <c r="D83" s="730">
        <v>57</v>
      </c>
      <c r="E83" s="730">
        <v>44</v>
      </c>
      <c r="F83" s="730">
        <v>48</v>
      </c>
      <c r="G83" s="730">
        <v>56</v>
      </c>
      <c r="H83" s="731">
        <v>33</v>
      </c>
      <c r="I83" s="732">
        <f t="shared" si="29"/>
        <v>288</v>
      </c>
      <c r="J83" s="1073"/>
      <c r="K83" s="1073"/>
      <c r="L83" s="1073"/>
      <c r="M83" s="1074"/>
      <c r="N83" s="624"/>
      <c r="O83" s="433"/>
      <c r="P83" s="394"/>
      <c r="Q83" s="394"/>
      <c r="R83" s="435"/>
      <c r="S83" s="430">
        <f t="shared" si="30"/>
        <v>288</v>
      </c>
      <c r="U83" s="13">
        <v>0</v>
      </c>
    </row>
    <row r="84" spans="2:23" ht="23.25" customHeight="1" thickBot="1">
      <c r="B84" s="737" t="s">
        <v>56</v>
      </c>
      <c r="C84" s="433">
        <v>0</v>
      </c>
      <c r="D84" s="394">
        <v>0</v>
      </c>
      <c r="E84" s="394">
        <v>0</v>
      </c>
      <c r="F84" s="394">
        <v>0</v>
      </c>
      <c r="G84" s="394">
        <v>0</v>
      </c>
      <c r="H84" s="394">
        <v>0</v>
      </c>
      <c r="I84" s="39"/>
      <c r="J84" s="743">
        <v>286</v>
      </c>
      <c r="K84" s="744">
        <v>238</v>
      </c>
      <c r="L84" s="744">
        <v>229</v>
      </c>
      <c r="M84" s="745">
        <v>222</v>
      </c>
      <c r="N84" s="746">
        <f>M84+L84+K84+J84</f>
        <v>975</v>
      </c>
      <c r="O84" s="433">
        <v>0</v>
      </c>
      <c r="P84" s="394">
        <v>0</v>
      </c>
      <c r="Q84" s="394">
        <v>0</v>
      </c>
      <c r="R84" s="435"/>
      <c r="S84" s="430">
        <f t="shared" si="30"/>
        <v>975</v>
      </c>
      <c r="U84" s="1048" t="s">
        <v>224</v>
      </c>
      <c r="W84" t="s">
        <v>240</v>
      </c>
    </row>
    <row r="85" spans="2:23" ht="22.5" customHeight="1" thickBot="1">
      <c r="B85" s="738" t="s">
        <v>239</v>
      </c>
      <c r="C85" s="433">
        <v>0</v>
      </c>
      <c r="D85" s="394">
        <v>0</v>
      </c>
      <c r="E85" s="394">
        <v>0</v>
      </c>
      <c r="F85" s="394">
        <v>0</v>
      </c>
      <c r="G85" s="394">
        <v>0</v>
      </c>
      <c r="H85" s="394">
        <v>0</v>
      </c>
      <c r="I85" s="2"/>
      <c r="J85" s="743">
        <v>197</v>
      </c>
      <c r="K85" s="744">
        <v>179</v>
      </c>
      <c r="L85" s="744">
        <v>152</v>
      </c>
      <c r="M85" s="745">
        <v>129</v>
      </c>
      <c r="N85" s="746">
        <f>M85+L85+K85+J85</f>
        <v>657</v>
      </c>
      <c r="O85" s="433">
        <v>0</v>
      </c>
      <c r="P85" s="394">
        <v>0</v>
      </c>
      <c r="Q85" s="394">
        <v>0</v>
      </c>
      <c r="R85" s="435"/>
      <c r="S85" s="430">
        <f t="shared" si="30"/>
        <v>657</v>
      </c>
      <c r="U85" s="1049"/>
    </row>
    <row r="86" spans="2:23" ht="21.75" customHeight="1" thickBot="1">
      <c r="B86" s="738" t="s">
        <v>57</v>
      </c>
      <c r="C86" s="433">
        <v>0</v>
      </c>
      <c r="D86" s="394">
        <v>0</v>
      </c>
      <c r="E86" s="394">
        <v>0</v>
      </c>
      <c r="F86" s="394">
        <v>0</v>
      </c>
      <c r="G86" s="394">
        <v>0</v>
      </c>
      <c r="H86" s="394">
        <v>0</v>
      </c>
      <c r="I86" s="2"/>
      <c r="J86" s="743">
        <v>150</v>
      </c>
      <c r="K86" s="744">
        <v>159</v>
      </c>
      <c r="L86" s="744">
        <v>141</v>
      </c>
      <c r="M86" s="745">
        <v>128</v>
      </c>
      <c r="N86" s="746">
        <f>M86+L86+K86+J86</f>
        <v>578</v>
      </c>
      <c r="O86" s="433">
        <v>0</v>
      </c>
      <c r="P86" s="394">
        <v>0</v>
      </c>
      <c r="Q86" s="394">
        <v>0</v>
      </c>
      <c r="R86" s="435"/>
      <c r="S86" s="430">
        <f t="shared" si="30"/>
        <v>578</v>
      </c>
      <c r="U86" s="1049"/>
    </row>
    <row r="87" spans="2:23" ht="21.75" customHeight="1" thickBot="1">
      <c r="B87" s="738" t="s">
        <v>58</v>
      </c>
      <c r="C87" s="433">
        <v>0</v>
      </c>
      <c r="D87" s="394">
        <v>0</v>
      </c>
      <c r="E87" s="394">
        <v>0</v>
      </c>
      <c r="F87" s="394">
        <v>0</v>
      </c>
      <c r="G87" s="394">
        <v>0</v>
      </c>
      <c r="H87" s="394">
        <v>0</v>
      </c>
      <c r="I87" s="2"/>
      <c r="J87" s="747">
        <v>164</v>
      </c>
      <c r="K87" s="748">
        <v>160</v>
      </c>
      <c r="L87" s="748">
        <v>162</v>
      </c>
      <c r="M87" s="749">
        <v>164</v>
      </c>
      <c r="N87" s="746">
        <f>M87+L87+K87+J87</f>
        <v>650</v>
      </c>
      <c r="O87" s="433">
        <v>0</v>
      </c>
      <c r="P87" s="394">
        <v>0</v>
      </c>
      <c r="Q87" s="394">
        <v>0</v>
      </c>
      <c r="R87" s="435"/>
      <c r="S87" s="430">
        <f t="shared" si="30"/>
        <v>650</v>
      </c>
      <c r="U87" s="1049"/>
    </row>
    <row r="88" spans="2:23" ht="23.25" customHeight="1" thickBot="1">
      <c r="B88" s="738" t="s">
        <v>59</v>
      </c>
      <c r="C88" s="433">
        <v>0</v>
      </c>
      <c r="D88" s="394">
        <v>0</v>
      </c>
      <c r="E88" s="394">
        <v>0</v>
      </c>
      <c r="F88" s="394">
        <v>0</v>
      </c>
      <c r="G88" s="394">
        <v>0</v>
      </c>
      <c r="H88" s="394">
        <v>0</v>
      </c>
      <c r="I88" s="2"/>
      <c r="J88" s="747">
        <v>81</v>
      </c>
      <c r="K88" s="748">
        <v>74</v>
      </c>
      <c r="L88" s="748">
        <v>64</v>
      </c>
      <c r="M88" s="749">
        <v>92</v>
      </c>
      <c r="N88" s="746">
        <f>M88+L88+K88+J88</f>
        <v>311</v>
      </c>
      <c r="O88" s="433">
        <v>0</v>
      </c>
      <c r="P88" s="394">
        <v>0</v>
      </c>
      <c r="Q88" s="394">
        <v>0</v>
      </c>
      <c r="R88" s="435"/>
      <c r="S88" s="430">
        <f t="shared" si="30"/>
        <v>311</v>
      </c>
      <c r="U88" s="1049"/>
    </row>
    <row r="89" spans="2:23" ht="22.5" customHeight="1" thickBot="1">
      <c r="B89" s="739" t="s">
        <v>60</v>
      </c>
      <c r="C89" s="433">
        <v>0</v>
      </c>
      <c r="D89" s="394">
        <v>0</v>
      </c>
      <c r="E89" s="394">
        <v>0</v>
      </c>
      <c r="F89" s="394">
        <v>0</v>
      </c>
      <c r="G89" s="394">
        <v>0</v>
      </c>
      <c r="H89" s="394">
        <v>0</v>
      </c>
      <c r="I89" s="2"/>
      <c r="J89" s="750">
        <v>0</v>
      </c>
      <c r="K89" s="750">
        <v>0</v>
      </c>
      <c r="L89" s="750">
        <v>0</v>
      </c>
      <c r="M89" s="750">
        <v>0</v>
      </c>
      <c r="N89" s="751"/>
      <c r="O89" s="713">
        <v>368</v>
      </c>
      <c r="P89" s="714">
        <v>248</v>
      </c>
      <c r="Q89" s="714">
        <v>248</v>
      </c>
      <c r="R89" s="715">
        <f>Q89+P89+O89</f>
        <v>864</v>
      </c>
      <c r="S89" s="430">
        <f t="shared" si="30"/>
        <v>864</v>
      </c>
      <c r="U89" s="1049"/>
    </row>
    <row r="90" spans="2:23" ht="24" customHeight="1" thickBot="1">
      <c r="B90" s="740" t="s">
        <v>61</v>
      </c>
      <c r="C90" s="433"/>
      <c r="D90" s="394"/>
      <c r="E90" s="394"/>
      <c r="F90" s="394"/>
      <c r="G90" s="394"/>
      <c r="H90" s="394"/>
      <c r="I90" s="2"/>
      <c r="J90" s="750"/>
      <c r="K90" s="750"/>
      <c r="L90" s="750"/>
      <c r="M90" s="750"/>
      <c r="N90" s="751"/>
      <c r="O90" s="716">
        <v>275</v>
      </c>
      <c r="P90" s="717">
        <v>191</v>
      </c>
      <c r="Q90" s="717">
        <v>235</v>
      </c>
      <c r="R90" s="718">
        <f>Q90+P90+O90</f>
        <v>701</v>
      </c>
      <c r="S90" s="430">
        <f t="shared" si="30"/>
        <v>701</v>
      </c>
      <c r="U90" s="1049"/>
    </row>
    <row r="91" spans="2:23" ht="27.75" customHeight="1" thickBot="1">
      <c r="B91" s="741" t="s">
        <v>62</v>
      </c>
      <c r="C91" s="433">
        <v>0</v>
      </c>
      <c r="D91" s="394">
        <v>0</v>
      </c>
      <c r="E91" s="394">
        <v>0</v>
      </c>
      <c r="F91" s="394">
        <v>0</v>
      </c>
      <c r="G91" s="394">
        <v>0</v>
      </c>
      <c r="H91" s="394">
        <v>0</v>
      </c>
      <c r="I91" s="3"/>
      <c r="J91" s="750">
        <v>0</v>
      </c>
      <c r="K91" s="750">
        <v>0</v>
      </c>
      <c r="L91" s="750">
        <v>0</v>
      </c>
      <c r="M91" s="750">
        <v>0</v>
      </c>
      <c r="N91" s="752"/>
      <c r="O91" s="719">
        <v>189</v>
      </c>
      <c r="P91" s="720">
        <v>134</v>
      </c>
      <c r="Q91" s="720">
        <v>168</v>
      </c>
      <c r="R91" s="718">
        <f>Q91+P91+O91</f>
        <v>491</v>
      </c>
      <c r="S91" s="564">
        <f t="shared" si="30"/>
        <v>491</v>
      </c>
      <c r="U91" s="1049"/>
    </row>
    <row r="92" spans="2:23" ht="39" customHeight="1" thickBot="1">
      <c r="B92" s="742" t="s">
        <v>23</v>
      </c>
      <c r="C92" s="753">
        <f>C66+C67+C68+C69+C70+C71+C72+C73+C74+C75+C76+C77+C78+C79+C80+C81+C82+C83</f>
        <v>987</v>
      </c>
      <c r="D92" s="753">
        <f t="shared" ref="D92:I92" si="31">D66+D67+D68+D69+D70+D71+D72+D73+D74+D75+D76+D77+D78+D79+D80+D81+D82+D83</f>
        <v>1155</v>
      </c>
      <c r="E92" s="753">
        <f t="shared" si="31"/>
        <v>1214</v>
      </c>
      <c r="F92" s="753">
        <f t="shared" si="31"/>
        <v>1130</v>
      </c>
      <c r="G92" s="753">
        <f t="shared" si="31"/>
        <v>1116</v>
      </c>
      <c r="H92" s="753">
        <f t="shared" si="31"/>
        <v>1076</v>
      </c>
      <c r="I92" s="755">
        <f t="shared" si="31"/>
        <v>6678</v>
      </c>
      <c r="J92" s="753">
        <f>J84+J85+J86+J87+J88</f>
        <v>878</v>
      </c>
      <c r="K92" s="753">
        <f>K84+K85+K86+K87+K88</f>
        <v>810</v>
      </c>
      <c r="L92" s="753">
        <f>L84+L85+L86+L87+L88</f>
        <v>748</v>
      </c>
      <c r="M92" s="753">
        <f>M84+M85+M86+M87+M88</f>
        <v>735</v>
      </c>
      <c r="N92" s="754">
        <f>N84+N85+N86+N87+N88</f>
        <v>3171</v>
      </c>
      <c r="O92" s="721">
        <f>O89+O90+O91</f>
        <v>832</v>
      </c>
      <c r="P92" s="722">
        <f>P89+P90+P91</f>
        <v>573</v>
      </c>
      <c r="Q92" s="722">
        <f>Q89+Q90+Q91</f>
        <v>651</v>
      </c>
      <c r="R92" s="723">
        <f>R89+R90+R91</f>
        <v>2056</v>
      </c>
      <c r="S92" s="565">
        <f>S66+S67+S68+S69+S70+S71+S72+S73+S74+S75+S76+S77+S78+S79+S80+S81+S82+S83+S84+S85+S86+S87+S88+S89+S90+S91</f>
        <v>11905</v>
      </c>
      <c r="U92" s="1050"/>
    </row>
    <row r="93" spans="2:23" s="37" customFormat="1" ht="39" customHeight="1">
      <c r="B93" s="99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1"/>
      <c r="O93" s="100"/>
      <c r="P93" s="100"/>
      <c r="Q93" s="100"/>
      <c r="R93" s="101"/>
      <c r="S93" s="102"/>
      <c r="U93" s="42"/>
    </row>
    <row r="94" spans="2:23" ht="20.25">
      <c r="B94" s="1055" t="s">
        <v>4</v>
      </c>
      <c r="C94" s="1055"/>
      <c r="D94" s="1055"/>
      <c r="E94" s="1055"/>
      <c r="F94" s="1055"/>
      <c r="G94" s="1055"/>
      <c r="H94" s="1055"/>
      <c r="I94" s="1055"/>
      <c r="J94" s="1055"/>
      <c r="K94" s="1055"/>
      <c r="L94" s="1055"/>
      <c r="M94" s="1055"/>
      <c r="N94" s="1055"/>
      <c r="O94" s="1055"/>
      <c r="P94" s="1055"/>
      <c r="Q94" s="1055"/>
      <c r="R94" s="1055"/>
      <c r="S94" s="1055"/>
    </row>
    <row r="95" spans="2:23" ht="20.25">
      <c r="B95" s="1055" t="s">
        <v>211</v>
      </c>
      <c r="C95" s="1055"/>
      <c r="D95" s="1055"/>
      <c r="E95" s="1055"/>
      <c r="F95" s="1055"/>
      <c r="G95" s="1055"/>
      <c r="H95" s="1055"/>
      <c r="I95" s="1055"/>
      <c r="J95" s="1055"/>
      <c r="K95" s="1055"/>
      <c r="L95" s="1055"/>
      <c r="M95" s="1055"/>
      <c r="N95" s="1055"/>
      <c r="O95" s="1055"/>
      <c r="P95" s="1055"/>
      <c r="Q95" s="1055"/>
      <c r="R95" s="1055"/>
      <c r="S95" s="1055"/>
    </row>
    <row r="96" spans="2:23" ht="20.25">
      <c r="B96" s="758" t="s">
        <v>219</v>
      </c>
      <c r="C96" s="758"/>
      <c r="D96" s="758"/>
      <c r="E96" s="758"/>
      <c r="F96" s="758"/>
      <c r="G96" s="758"/>
      <c r="H96" s="758"/>
      <c r="I96" s="758"/>
      <c r="J96" s="758"/>
      <c r="K96" s="758"/>
      <c r="L96" s="758"/>
      <c r="M96" s="758"/>
      <c r="N96" s="758"/>
      <c r="O96" s="758"/>
      <c r="P96" s="758"/>
      <c r="Q96" s="758"/>
      <c r="R96" s="758"/>
      <c r="S96" s="758"/>
    </row>
    <row r="97" spans="1:21" ht="21" thickBot="1">
      <c r="B97" s="759" t="s">
        <v>5</v>
      </c>
      <c r="C97" s="760"/>
      <c r="D97" s="760"/>
      <c r="E97" s="760"/>
      <c r="F97" s="1085" t="s">
        <v>292</v>
      </c>
      <c r="G97" s="1085"/>
      <c r="H97" s="1085"/>
      <c r="I97" s="1085"/>
      <c r="J97" s="1085"/>
      <c r="K97" s="760"/>
      <c r="L97" s="760"/>
      <c r="M97" s="760"/>
      <c r="N97" s="760"/>
      <c r="O97" s="760"/>
      <c r="P97" s="761"/>
      <c r="Q97" s="761"/>
      <c r="R97" s="761"/>
      <c r="S97" s="756"/>
    </row>
    <row r="98" spans="1:21" ht="15.75">
      <c r="B98" s="91"/>
      <c r="C98" s="107" t="s">
        <v>6</v>
      </c>
      <c r="D98" s="108"/>
      <c r="E98" s="108"/>
      <c r="F98" s="108"/>
      <c r="G98" s="108"/>
      <c r="H98" s="108"/>
      <c r="I98" s="109"/>
      <c r="J98" s="930" t="s">
        <v>7</v>
      </c>
      <c r="K98" s="931"/>
      <c r="L98" s="931"/>
      <c r="M98" s="931"/>
      <c r="N98" s="932"/>
      <c r="O98" s="936" t="s">
        <v>8</v>
      </c>
      <c r="P98" s="937"/>
      <c r="Q98" s="937"/>
      <c r="R98" s="1076"/>
      <c r="S98" s="59"/>
    </row>
    <row r="99" spans="1:21" ht="16.5" thickBot="1">
      <c r="B99" s="92" t="s">
        <v>3</v>
      </c>
      <c r="C99" s="110"/>
      <c r="D99" s="111"/>
      <c r="E99" s="111"/>
      <c r="F99" s="111"/>
      <c r="G99" s="111"/>
      <c r="H99" s="111"/>
      <c r="I99" s="112"/>
      <c r="J99" s="933"/>
      <c r="K99" s="934"/>
      <c r="L99" s="934"/>
      <c r="M99" s="934"/>
      <c r="N99" s="935"/>
      <c r="O99" s="938"/>
      <c r="P99" s="939"/>
      <c r="Q99" s="939"/>
      <c r="R99" s="1077"/>
      <c r="S99" s="60" t="s">
        <v>0</v>
      </c>
    </row>
    <row r="100" spans="1:21" ht="16.5" thickBot="1">
      <c r="B100" s="113"/>
      <c r="C100" s="114" t="s">
        <v>10</v>
      </c>
      <c r="D100" s="115" t="s">
        <v>11</v>
      </c>
      <c r="E100" s="115" t="s">
        <v>12</v>
      </c>
      <c r="F100" s="115" t="s">
        <v>13</v>
      </c>
      <c r="G100" s="115" t="s">
        <v>14</v>
      </c>
      <c r="H100" s="116" t="s">
        <v>15</v>
      </c>
      <c r="I100" s="117" t="s">
        <v>16</v>
      </c>
      <c r="J100" s="118" t="s">
        <v>11</v>
      </c>
      <c r="K100" s="119" t="s">
        <v>12</v>
      </c>
      <c r="L100" s="119" t="s">
        <v>13</v>
      </c>
      <c r="M100" s="120" t="s">
        <v>14</v>
      </c>
      <c r="N100" s="121" t="s">
        <v>16</v>
      </c>
      <c r="O100" s="118" t="s">
        <v>11</v>
      </c>
      <c r="P100" s="120" t="s">
        <v>12</v>
      </c>
      <c r="Q100" s="119" t="s">
        <v>13</v>
      </c>
      <c r="R100" s="122" t="s">
        <v>16</v>
      </c>
      <c r="S100" s="69"/>
      <c r="U100" s="14" t="s">
        <v>220</v>
      </c>
    </row>
    <row r="101" spans="1:21" ht="32.25" customHeight="1" thickBot="1">
      <c r="B101" s="70" t="s">
        <v>63</v>
      </c>
      <c r="C101" s="424">
        <v>56</v>
      </c>
      <c r="D101" s="424">
        <v>62</v>
      </c>
      <c r="E101" s="424">
        <v>81</v>
      </c>
      <c r="F101" s="424">
        <v>69</v>
      </c>
      <c r="G101" s="424">
        <v>91</v>
      </c>
      <c r="H101" s="425">
        <v>71</v>
      </c>
      <c r="I101" s="425">
        <f t="shared" ref="I101:I120" si="32">SUM(C101:H101)</f>
        <v>430</v>
      </c>
      <c r="J101" s="1078" t="s">
        <v>227</v>
      </c>
      <c r="K101" s="1071"/>
      <c r="L101" s="1071"/>
      <c r="M101" s="1079"/>
      <c r="N101" s="533"/>
      <c r="O101" s="390">
        <v>0</v>
      </c>
      <c r="P101" s="390">
        <v>0</v>
      </c>
      <c r="Q101" s="390">
        <v>0</v>
      </c>
      <c r="R101" s="75"/>
      <c r="S101" s="430">
        <f t="shared" ref="S101:S130" si="33">R101+N101+I101</f>
        <v>430</v>
      </c>
      <c r="U101" s="13" t="s">
        <v>221</v>
      </c>
    </row>
    <row r="102" spans="1:21" ht="22.5" customHeight="1" thickBot="1">
      <c r="A102" s="41"/>
      <c r="B102" s="77" t="s">
        <v>64</v>
      </c>
      <c r="C102" s="424">
        <v>0</v>
      </c>
      <c r="D102" s="424">
        <v>26</v>
      </c>
      <c r="E102" s="424">
        <v>72</v>
      </c>
      <c r="F102" s="424">
        <v>64</v>
      </c>
      <c r="G102" s="424">
        <v>85</v>
      </c>
      <c r="H102" s="425">
        <v>55</v>
      </c>
      <c r="I102" s="425">
        <f t="shared" si="32"/>
        <v>302</v>
      </c>
      <c r="J102" s="1080"/>
      <c r="K102" s="1073"/>
      <c r="L102" s="1073"/>
      <c r="M102" s="1081"/>
      <c r="N102" s="434"/>
      <c r="O102" s="394">
        <v>0</v>
      </c>
      <c r="P102" s="394">
        <v>0</v>
      </c>
      <c r="Q102" s="394">
        <v>0</v>
      </c>
      <c r="R102" s="81"/>
      <c r="S102" s="430">
        <f t="shared" si="33"/>
        <v>302</v>
      </c>
      <c r="U102" s="13" t="s">
        <v>221</v>
      </c>
    </row>
    <row r="103" spans="1:21" ht="25.5" customHeight="1" thickBot="1">
      <c r="B103" s="77" t="s">
        <v>65</v>
      </c>
      <c r="C103" s="424">
        <v>27</v>
      </c>
      <c r="D103" s="424">
        <v>43</v>
      </c>
      <c r="E103" s="424">
        <v>66</v>
      </c>
      <c r="F103" s="424">
        <v>59</v>
      </c>
      <c r="G103" s="424">
        <v>46</v>
      </c>
      <c r="H103" s="425">
        <v>52</v>
      </c>
      <c r="I103" s="425">
        <f t="shared" si="32"/>
        <v>293</v>
      </c>
      <c r="J103" s="1080"/>
      <c r="K103" s="1073"/>
      <c r="L103" s="1073"/>
      <c r="M103" s="1081"/>
      <c r="N103" s="434"/>
      <c r="O103" s="394">
        <v>0</v>
      </c>
      <c r="P103" s="394">
        <v>0</v>
      </c>
      <c r="Q103" s="394">
        <v>0</v>
      </c>
      <c r="R103" s="81"/>
      <c r="S103" s="430">
        <f t="shared" si="33"/>
        <v>293</v>
      </c>
      <c r="U103" s="13" t="s">
        <v>221</v>
      </c>
    </row>
    <row r="104" spans="1:21" ht="24.75" customHeight="1" thickBot="1">
      <c r="B104" s="77" t="s">
        <v>66</v>
      </c>
      <c r="C104" s="424">
        <v>59</v>
      </c>
      <c r="D104" s="424">
        <v>85</v>
      </c>
      <c r="E104" s="424">
        <v>64</v>
      </c>
      <c r="F104" s="424">
        <v>97</v>
      </c>
      <c r="G104" s="424">
        <v>62</v>
      </c>
      <c r="H104" s="425">
        <v>81</v>
      </c>
      <c r="I104" s="425">
        <f t="shared" si="32"/>
        <v>448</v>
      </c>
      <c r="J104" s="1080"/>
      <c r="K104" s="1073"/>
      <c r="L104" s="1073"/>
      <c r="M104" s="1081"/>
      <c r="N104" s="434"/>
      <c r="O104" s="394">
        <v>0</v>
      </c>
      <c r="P104" s="394">
        <v>0</v>
      </c>
      <c r="Q104" s="394">
        <v>0</v>
      </c>
      <c r="R104" s="81"/>
      <c r="S104" s="430">
        <f t="shared" si="33"/>
        <v>448</v>
      </c>
      <c r="U104" s="13">
        <v>0</v>
      </c>
    </row>
    <row r="105" spans="1:21" ht="27" customHeight="1" thickBot="1">
      <c r="B105" s="77" t="s">
        <v>67</v>
      </c>
      <c r="C105" s="424">
        <v>65</v>
      </c>
      <c r="D105" s="424">
        <v>38</v>
      </c>
      <c r="E105" s="424">
        <v>71</v>
      </c>
      <c r="F105" s="424">
        <v>71</v>
      </c>
      <c r="G105" s="424">
        <v>63</v>
      </c>
      <c r="H105" s="425">
        <v>57</v>
      </c>
      <c r="I105" s="425">
        <f t="shared" si="32"/>
        <v>365</v>
      </c>
      <c r="J105" s="1080"/>
      <c r="K105" s="1073"/>
      <c r="L105" s="1073"/>
      <c r="M105" s="1081"/>
      <c r="N105" s="434"/>
      <c r="O105" s="394">
        <v>0</v>
      </c>
      <c r="P105" s="394">
        <v>0</v>
      </c>
      <c r="Q105" s="394">
        <v>0</v>
      </c>
      <c r="R105" s="81"/>
      <c r="S105" s="430">
        <f t="shared" si="33"/>
        <v>365</v>
      </c>
      <c r="U105" s="13">
        <v>0</v>
      </c>
    </row>
    <row r="106" spans="1:21" ht="27" customHeight="1" thickBot="1">
      <c r="B106" s="77" t="s">
        <v>68</v>
      </c>
      <c r="C106" s="424">
        <v>74</v>
      </c>
      <c r="D106" s="424">
        <v>72</v>
      </c>
      <c r="E106" s="424">
        <v>92</v>
      </c>
      <c r="F106" s="424">
        <v>88</v>
      </c>
      <c r="G106" s="424">
        <v>83</v>
      </c>
      <c r="H106" s="425">
        <v>57</v>
      </c>
      <c r="I106" s="425">
        <f t="shared" si="32"/>
        <v>466</v>
      </c>
      <c r="J106" s="1080"/>
      <c r="K106" s="1073"/>
      <c r="L106" s="1073"/>
      <c r="M106" s="1081"/>
      <c r="N106" s="434"/>
      <c r="O106" s="394">
        <v>0</v>
      </c>
      <c r="P106" s="394">
        <v>0</v>
      </c>
      <c r="Q106" s="394">
        <v>0</v>
      </c>
      <c r="R106" s="81"/>
      <c r="S106" s="430">
        <f t="shared" si="33"/>
        <v>466</v>
      </c>
      <c r="U106" s="13" t="s">
        <v>221</v>
      </c>
    </row>
    <row r="107" spans="1:21" ht="23.25" customHeight="1" thickBot="1">
      <c r="B107" s="77" t="s">
        <v>69</v>
      </c>
      <c r="C107" s="424">
        <v>16</v>
      </c>
      <c r="D107" s="424">
        <v>25</v>
      </c>
      <c r="E107" s="424">
        <v>40</v>
      </c>
      <c r="F107" s="424">
        <v>29</v>
      </c>
      <c r="G107" s="424">
        <v>24</v>
      </c>
      <c r="H107" s="425">
        <v>18</v>
      </c>
      <c r="I107" s="425">
        <f t="shared" si="32"/>
        <v>152</v>
      </c>
      <c r="J107" s="1080"/>
      <c r="K107" s="1073"/>
      <c r="L107" s="1073"/>
      <c r="M107" s="1081"/>
      <c r="N107" s="434"/>
      <c r="O107" s="394">
        <v>0</v>
      </c>
      <c r="P107" s="394">
        <v>0</v>
      </c>
      <c r="Q107" s="394">
        <v>0</v>
      </c>
      <c r="R107" s="81"/>
      <c r="S107" s="430">
        <f t="shared" si="33"/>
        <v>152</v>
      </c>
      <c r="U107" s="13" t="s">
        <v>221</v>
      </c>
    </row>
    <row r="108" spans="1:21" ht="22.5" customHeight="1" thickBot="1">
      <c r="B108" s="77" t="s">
        <v>70</v>
      </c>
      <c r="C108" s="424">
        <v>45</v>
      </c>
      <c r="D108" s="424">
        <v>51</v>
      </c>
      <c r="E108" s="424">
        <v>52</v>
      </c>
      <c r="F108" s="424">
        <v>64</v>
      </c>
      <c r="G108" s="424">
        <v>52</v>
      </c>
      <c r="H108" s="425">
        <v>39</v>
      </c>
      <c r="I108" s="425">
        <f t="shared" si="32"/>
        <v>303</v>
      </c>
      <c r="J108" s="1080"/>
      <c r="K108" s="1073"/>
      <c r="L108" s="1073"/>
      <c r="M108" s="1081"/>
      <c r="N108" s="434"/>
      <c r="O108" s="394">
        <v>0</v>
      </c>
      <c r="P108" s="394">
        <v>0</v>
      </c>
      <c r="Q108" s="394">
        <v>0</v>
      </c>
      <c r="R108" s="81"/>
      <c r="S108" s="430">
        <f t="shared" si="33"/>
        <v>303</v>
      </c>
      <c r="U108" s="13" t="s">
        <v>221</v>
      </c>
    </row>
    <row r="109" spans="1:21" ht="21.75" customHeight="1" thickBot="1">
      <c r="B109" s="77" t="s">
        <v>71</v>
      </c>
      <c r="C109" s="424">
        <v>50</v>
      </c>
      <c r="D109" s="424">
        <v>37</v>
      </c>
      <c r="E109" s="424">
        <v>41</v>
      </c>
      <c r="F109" s="424">
        <v>47</v>
      </c>
      <c r="G109" s="424">
        <v>51</v>
      </c>
      <c r="H109" s="425">
        <v>39</v>
      </c>
      <c r="I109" s="425">
        <f t="shared" si="32"/>
        <v>265</v>
      </c>
      <c r="J109" s="1080"/>
      <c r="K109" s="1073"/>
      <c r="L109" s="1073"/>
      <c r="M109" s="1081"/>
      <c r="N109" s="434"/>
      <c r="O109" s="394">
        <v>0</v>
      </c>
      <c r="P109" s="394">
        <v>0</v>
      </c>
      <c r="Q109" s="394">
        <v>0</v>
      </c>
      <c r="R109" s="81"/>
      <c r="S109" s="430">
        <f t="shared" si="33"/>
        <v>265</v>
      </c>
      <c r="U109" s="13">
        <v>0</v>
      </c>
    </row>
    <row r="110" spans="1:21" ht="21.75" customHeight="1" thickBot="1">
      <c r="B110" s="77" t="s">
        <v>284</v>
      </c>
      <c r="C110" s="424">
        <v>25</v>
      </c>
      <c r="D110" s="424">
        <v>36</v>
      </c>
      <c r="E110" s="424">
        <v>41</v>
      </c>
      <c r="F110" s="424">
        <v>40</v>
      </c>
      <c r="G110" s="424">
        <v>46</v>
      </c>
      <c r="H110" s="425">
        <v>47</v>
      </c>
      <c r="I110" s="425">
        <f t="shared" si="32"/>
        <v>235</v>
      </c>
      <c r="J110" s="1080"/>
      <c r="K110" s="1073"/>
      <c r="L110" s="1073"/>
      <c r="M110" s="1081"/>
      <c r="N110" s="434"/>
      <c r="O110" s="394">
        <v>0</v>
      </c>
      <c r="P110" s="394">
        <v>0</v>
      </c>
      <c r="Q110" s="394">
        <v>0</v>
      </c>
      <c r="R110" s="81"/>
      <c r="S110" s="430">
        <f t="shared" si="33"/>
        <v>235</v>
      </c>
      <c r="U110" s="13">
        <v>0</v>
      </c>
    </row>
    <row r="111" spans="1:21" ht="24.75" customHeight="1" thickBot="1">
      <c r="B111" s="77" t="s">
        <v>250</v>
      </c>
      <c r="C111" s="424">
        <v>43</v>
      </c>
      <c r="D111" s="424">
        <v>45</v>
      </c>
      <c r="E111" s="424">
        <v>78</v>
      </c>
      <c r="F111" s="424">
        <v>59</v>
      </c>
      <c r="G111" s="424">
        <v>60</v>
      </c>
      <c r="H111" s="425">
        <v>53</v>
      </c>
      <c r="I111" s="425">
        <f t="shared" si="32"/>
        <v>338</v>
      </c>
      <c r="J111" s="1080"/>
      <c r="K111" s="1073"/>
      <c r="L111" s="1073"/>
      <c r="M111" s="1081"/>
      <c r="N111" s="434"/>
      <c r="O111" s="394">
        <v>0</v>
      </c>
      <c r="P111" s="394">
        <v>0</v>
      </c>
      <c r="Q111" s="394">
        <v>0</v>
      </c>
      <c r="R111" s="81"/>
      <c r="S111" s="430">
        <f t="shared" si="33"/>
        <v>338</v>
      </c>
      <c r="U111" s="13">
        <v>0</v>
      </c>
    </row>
    <row r="112" spans="1:21" ht="25.5" customHeight="1" thickBot="1">
      <c r="B112" s="77" t="s">
        <v>72</v>
      </c>
      <c r="C112" s="424">
        <v>21</v>
      </c>
      <c r="D112" s="424">
        <v>28</v>
      </c>
      <c r="E112" s="424">
        <v>36</v>
      </c>
      <c r="F112" s="424">
        <v>32</v>
      </c>
      <c r="G112" s="424">
        <v>21</v>
      </c>
      <c r="H112" s="425">
        <v>35</v>
      </c>
      <c r="I112" s="425">
        <f t="shared" si="32"/>
        <v>173</v>
      </c>
      <c r="J112" s="1080"/>
      <c r="K112" s="1073"/>
      <c r="L112" s="1073"/>
      <c r="M112" s="1081"/>
      <c r="N112" s="434"/>
      <c r="O112" s="394">
        <v>0</v>
      </c>
      <c r="P112" s="394">
        <v>0</v>
      </c>
      <c r="Q112" s="394">
        <v>0</v>
      </c>
      <c r="R112" s="81"/>
      <c r="S112" s="430">
        <f t="shared" si="33"/>
        <v>173</v>
      </c>
      <c r="U112" s="13">
        <v>0</v>
      </c>
    </row>
    <row r="113" spans="2:21" ht="25.5" customHeight="1" thickBot="1">
      <c r="B113" s="77" t="s">
        <v>73</v>
      </c>
      <c r="C113" s="424">
        <v>43</v>
      </c>
      <c r="D113" s="424">
        <v>72</v>
      </c>
      <c r="E113" s="424">
        <v>98</v>
      </c>
      <c r="F113" s="424">
        <v>73</v>
      </c>
      <c r="G113" s="424">
        <v>60</v>
      </c>
      <c r="H113" s="425">
        <v>70</v>
      </c>
      <c r="I113" s="425">
        <f t="shared" si="32"/>
        <v>416</v>
      </c>
      <c r="J113" s="1080"/>
      <c r="K113" s="1073"/>
      <c r="L113" s="1073"/>
      <c r="M113" s="1081"/>
      <c r="N113" s="434"/>
      <c r="O113" s="394">
        <v>0</v>
      </c>
      <c r="P113" s="394">
        <v>0</v>
      </c>
      <c r="Q113" s="394">
        <v>0</v>
      </c>
      <c r="R113" s="81"/>
      <c r="S113" s="430">
        <f t="shared" si="33"/>
        <v>416</v>
      </c>
      <c r="U113" s="13" t="s">
        <v>221</v>
      </c>
    </row>
    <row r="114" spans="2:21" ht="21" customHeight="1" thickBot="1">
      <c r="B114" s="77" t="s">
        <v>74</v>
      </c>
      <c r="C114" s="424">
        <v>70</v>
      </c>
      <c r="D114" s="424">
        <v>71</v>
      </c>
      <c r="E114" s="424">
        <v>70</v>
      </c>
      <c r="F114" s="424">
        <v>67</v>
      </c>
      <c r="G114" s="424">
        <v>86</v>
      </c>
      <c r="H114" s="425">
        <v>54</v>
      </c>
      <c r="I114" s="425">
        <f t="shared" si="32"/>
        <v>418</v>
      </c>
      <c r="J114" s="1080"/>
      <c r="K114" s="1073"/>
      <c r="L114" s="1073"/>
      <c r="M114" s="1081"/>
      <c r="N114" s="434"/>
      <c r="O114" s="394">
        <v>0</v>
      </c>
      <c r="P114" s="394">
        <v>0</v>
      </c>
      <c r="Q114" s="394">
        <v>0</v>
      </c>
      <c r="R114" s="81"/>
      <c r="S114" s="430">
        <f t="shared" si="33"/>
        <v>418</v>
      </c>
      <c r="U114" s="13" t="s">
        <v>221</v>
      </c>
    </row>
    <row r="115" spans="2:21" ht="23.25" customHeight="1" thickBot="1">
      <c r="B115" s="77" t="s">
        <v>75</v>
      </c>
      <c r="C115" s="424">
        <v>33</v>
      </c>
      <c r="D115" s="424">
        <v>37</v>
      </c>
      <c r="E115" s="424">
        <v>36</v>
      </c>
      <c r="F115" s="424">
        <v>31</v>
      </c>
      <c r="G115" s="424">
        <v>37</v>
      </c>
      <c r="H115" s="425">
        <v>49</v>
      </c>
      <c r="I115" s="425">
        <f t="shared" si="32"/>
        <v>223</v>
      </c>
      <c r="J115" s="1080"/>
      <c r="K115" s="1073"/>
      <c r="L115" s="1073"/>
      <c r="M115" s="1081"/>
      <c r="N115" s="434"/>
      <c r="O115" s="394">
        <v>0</v>
      </c>
      <c r="P115" s="394">
        <v>0</v>
      </c>
      <c r="Q115" s="394">
        <v>0</v>
      </c>
      <c r="R115" s="81"/>
      <c r="S115" s="430">
        <f t="shared" si="33"/>
        <v>223</v>
      </c>
      <c r="U115" s="13" t="s">
        <v>221</v>
      </c>
    </row>
    <row r="116" spans="2:21" ht="22.5" customHeight="1" thickBot="1">
      <c r="B116" s="77" t="s">
        <v>76</v>
      </c>
      <c r="C116" s="424">
        <v>81</v>
      </c>
      <c r="D116" s="424">
        <v>109</v>
      </c>
      <c r="E116" s="424">
        <v>131</v>
      </c>
      <c r="F116" s="424">
        <v>99</v>
      </c>
      <c r="G116" s="424">
        <v>123</v>
      </c>
      <c r="H116" s="425">
        <v>131</v>
      </c>
      <c r="I116" s="364">
        <f t="shared" si="32"/>
        <v>674</v>
      </c>
      <c r="J116" s="1080"/>
      <c r="K116" s="1073"/>
      <c r="L116" s="1073"/>
      <c r="M116" s="1081"/>
      <c r="N116" s="434"/>
      <c r="O116" s="394"/>
      <c r="P116" s="394"/>
      <c r="Q116" s="394"/>
      <c r="R116" s="81"/>
      <c r="S116" s="430">
        <f t="shared" si="33"/>
        <v>674</v>
      </c>
      <c r="U116" s="13">
        <v>0</v>
      </c>
    </row>
    <row r="117" spans="2:21" ht="21" customHeight="1" thickBot="1">
      <c r="B117" s="77" t="s">
        <v>77</v>
      </c>
      <c r="C117" s="424">
        <v>49</v>
      </c>
      <c r="D117" s="424">
        <v>54</v>
      </c>
      <c r="E117" s="424">
        <v>79</v>
      </c>
      <c r="F117" s="424">
        <v>77</v>
      </c>
      <c r="G117" s="424">
        <v>63</v>
      </c>
      <c r="H117" s="425">
        <v>73</v>
      </c>
      <c r="I117" s="534">
        <f t="shared" si="32"/>
        <v>395</v>
      </c>
      <c r="J117" s="1080"/>
      <c r="K117" s="1073"/>
      <c r="L117" s="1073"/>
      <c r="M117" s="1081"/>
      <c r="N117" s="434"/>
      <c r="O117" s="394">
        <v>0</v>
      </c>
      <c r="P117" s="394">
        <v>0</v>
      </c>
      <c r="Q117" s="394">
        <v>0</v>
      </c>
      <c r="R117" s="81"/>
      <c r="S117" s="430">
        <f t="shared" si="33"/>
        <v>395</v>
      </c>
      <c r="U117" s="13">
        <v>0</v>
      </c>
    </row>
    <row r="118" spans="2:21" ht="21.75" customHeight="1" thickBot="1">
      <c r="B118" s="126" t="s">
        <v>212</v>
      </c>
      <c r="C118" s="424">
        <v>35</v>
      </c>
      <c r="D118" s="424">
        <v>47</v>
      </c>
      <c r="E118" s="424">
        <v>35</v>
      </c>
      <c r="F118" s="424">
        <v>42</v>
      </c>
      <c r="G118" s="424">
        <v>51</v>
      </c>
      <c r="H118" s="425">
        <v>49</v>
      </c>
      <c r="I118" s="364">
        <f t="shared" si="32"/>
        <v>259</v>
      </c>
      <c r="J118" s="1080"/>
      <c r="K118" s="1073"/>
      <c r="L118" s="1073"/>
      <c r="M118" s="1081"/>
      <c r="N118" s="434"/>
      <c r="O118" s="394"/>
      <c r="P118" s="394"/>
      <c r="Q118" s="394"/>
      <c r="R118" s="81"/>
      <c r="S118" s="430">
        <f t="shared" si="33"/>
        <v>259</v>
      </c>
      <c r="U118" s="13">
        <v>0</v>
      </c>
    </row>
    <row r="119" spans="2:21" s="32" customFormat="1" ht="18.75" customHeight="1" thickBot="1">
      <c r="B119" s="127" t="s">
        <v>249</v>
      </c>
      <c r="C119" s="424">
        <v>0</v>
      </c>
      <c r="D119" s="424">
        <v>0</v>
      </c>
      <c r="E119" s="424">
        <v>0</v>
      </c>
      <c r="F119" s="424">
        <v>0</v>
      </c>
      <c r="G119" s="424">
        <v>0</v>
      </c>
      <c r="H119" s="425">
        <v>0</v>
      </c>
      <c r="I119" s="364">
        <f t="shared" si="32"/>
        <v>0</v>
      </c>
      <c r="J119" s="1080"/>
      <c r="K119" s="1073"/>
      <c r="L119" s="1073"/>
      <c r="M119" s="1081"/>
      <c r="N119" s="434"/>
      <c r="O119" s="394"/>
      <c r="P119" s="394"/>
      <c r="Q119" s="394"/>
      <c r="R119" s="81"/>
      <c r="S119" s="430">
        <f t="shared" si="33"/>
        <v>0</v>
      </c>
      <c r="U119" s="13"/>
    </row>
    <row r="120" spans="2:21" ht="23.25" customHeight="1" thickBot="1">
      <c r="B120" s="128" t="s">
        <v>78</v>
      </c>
      <c r="C120" s="535">
        <v>0</v>
      </c>
      <c r="D120" s="535">
        <v>7</v>
      </c>
      <c r="E120" s="535">
        <v>4</v>
      </c>
      <c r="F120" s="535">
        <v>4</v>
      </c>
      <c r="G120" s="535">
        <v>3</v>
      </c>
      <c r="H120" s="534">
        <v>1</v>
      </c>
      <c r="I120" s="536">
        <f t="shared" si="32"/>
        <v>19</v>
      </c>
      <c r="J120" s="537"/>
      <c r="K120" s="537"/>
      <c r="L120" s="537"/>
      <c r="M120" s="538"/>
      <c r="N120" s="434"/>
      <c r="O120" s="394"/>
      <c r="P120" s="394"/>
      <c r="Q120" s="394"/>
      <c r="R120" s="81"/>
      <c r="S120" s="430">
        <f t="shared" si="33"/>
        <v>19</v>
      </c>
      <c r="U120" s="13">
        <v>0</v>
      </c>
    </row>
    <row r="121" spans="2:21" ht="26.25" customHeight="1">
      <c r="B121" s="351" t="s">
        <v>79</v>
      </c>
      <c r="C121" s="539"/>
      <c r="D121" s="539"/>
      <c r="E121" s="539"/>
      <c r="F121" s="539"/>
      <c r="G121" s="539"/>
      <c r="H121" s="539"/>
      <c r="I121" s="39"/>
      <c r="J121" s="540">
        <v>261</v>
      </c>
      <c r="K121" s="541">
        <v>186</v>
      </c>
      <c r="L121" s="541">
        <v>156</v>
      </c>
      <c r="M121" s="542">
        <v>133</v>
      </c>
      <c r="N121" s="543">
        <f>M121+L121+K121+J121</f>
        <v>736</v>
      </c>
      <c r="O121" s="455"/>
      <c r="P121" s="455"/>
      <c r="Q121" s="455"/>
      <c r="R121" s="131"/>
      <c r="S121" s="430">
        <f t="shared" si="33"/>
        <v>736</v>
      </c>
    </row>
    <row r="122" spans="2:21" ht="18.75" customHeight="1">
      <c r="B122" s="347" t="s">
        <v>80</v>
      </c>
      <c r="C122" s="394">
        <v>0</v>
      </c>
      <c r="D122" s="394">
        <v>0</v>
      </c>
      <c r="E122" s="394">
        <v>0</v>
      </c>
      <c r="F122" s="394">
        <v>0</v>
      </c>
      <c r="G122" s="394">
        <v>0</v>
      </c>
      <c r="H122" s="394">
        <v>0</v>
      </c>
      <c r="I122" s="544"/>
      <c r="J122" s="545">
        <v>307</v>
      </c>
      <c r="K122" s="545">
        <v>249</v>
      </c>
      <c r="L122" s="545">
        <v>183</v>
      </c>
      <c r="M122" s="546">
        <v>188</v>
      </c>
      <c r="N122" s="547">
        <f t="shared" ref="N122:N127" si="34">SUM(J122:M122)</f>
        <v>927</v>
      </c>
      <c r="O122" s="394">
        <v>0</v>
      </c>
      <c r="P122" s="394">
        <v>0</v>
      </c>
      <c r="Q122" s="394">
        <v>0</v>
      </c>
      <c r="R122" s="81"/>
      <c r="S122" s="430">
        <f t="shared" si="33"/>
        <v>927</v>
      </c>
    </row>
    <row r="123" spans="2:21" ht="24" customHeight="1">
      <c r="B123" s="348" t="s">
        <v>81</v>
      </c>
      <c r="C123" s="394">
        <v>0</v>
      </c>
      <c r="D123" s="394">
        <v>0</v>
      </c>
      <c r="E123" s="394">
        <v>0</v>
      </c>
      <c r="F123" s="394">
        <v>0</v>
      </c>
      <c r="G123" s="394">
        <v>0</v>
      </c>
      <c r="H123" s="394">
        <v>0</v>
      </c>
      <c r="I123" s="544"/>
      <c r="J123" s="548">
        <v>282</v>
      </c>
      <c r="K123" s="545">
        <v>164</v>
      </c>
      <c r="L123" s="545">
        <v>155</v>
      </c>
      <c r="M123" s="546">
        <v>158</v>
      </c>
      <c r="N123" s="549">
        <f>M123+L123+K123+J123</f>
        <v>759</v>
      </c>
      <c r="O123" s="394">
        <v>0</v>
      </c>
      <c r="P123" s="394">
        <v>0</v>
      </c>
      <c r="Q123" s="394">
        <v>0</v>
      </c>
      <c r="R123" s="81"/>
      <c r="S123" s="430">
        <f t="shared" si="33"/>
        <v>759</v>
      </c>
    </row>
    <row r="124" spans="2:21" ht="29.25" customHeight="1">
      <c r="B124" s="348" t="s">
        <v>82</v>
      </c>
      <c r="C124" s="394">
        <v>0</v>
      </c>
      <c r="D124" s="394">
        <v>0</v>
      </c>
      <c r="E124" s="394">
        <v>0</v>
      </c>
      <c r="F124" s="394">
        <v>0</v>
      </c>
      <c r="G124" s="394">
        <v>0</v>
      </c>
      <c r="H124" s="394">
        <v>0</v>
      </c>
      <c r="I124" s="544"/>
      <c r="J124" s="548">
        <v>169</v>
      </c>
      <c r="K124" s="550">
        <v>98</v>
      </c>
      <c r="L124" s="550">
        <v>82</v>
      </c>
      <c r="M124" s="551">
        <v>104</v>
      </c>
      <c r="N124" s="549">
        <f t="shared" si="34"/>
        <v>453</v>
      </c>
      <c r="O124" s="394">
        <v>0</v>
      </c>
      <c r="P124" s="394">
        <v>0</v>
      </c>
      <c r="Q124" s="394">
        <v>0</v>
      </c>
      <c r="R124" s="81"/>
      <c r="S124" s="430">
        <f t="shared" si="33"/>
        <v>453</v>
      </c>
    </row>
    <row r="125" spans="2:21" s="32" customFormat="1" ht="27" customHeight="1">
      <c r="B125" s="348" t="s">
        <v>269</v>
      </c>
      <c r="C125" s="394"/>
      <c r="D125" s="394"/>
      <c r="E125" s="394"/>
      <c r="F125" s="394"/>
      <c r="G125" s="394"/>
      <c r="H125" s="394"/>
      <c r="I125" s="544"/>
      <c r="J125" s="552">
        <v>177</v>
      </c>
      <c r="K125" s="553">
        <v>137</v>
      </c>
      <c r="L125" s="553">
        <v>81</v>
      </c>
      <c r="M125" s="554">
        <v>80</v>
      </c>
      <c r="N125" s="549">
        <f t="shared" si="34"/>
        <v>475</v>
      </c>
      <c r="O125" s="394"/>
      <c r="P125" s="394"/>
      <c r="Q125" s="394"/>
      <c r="R125" s="81"/>
      <c r="S125" s="430">
        <f t="shared" si="33"/>
        <v>475</v>
      </c>
    </row>
    <row r="126" spans="2:21" s="37" customFormat="1" ht="25.5" customHeight="1">
      <c r="B126" s="348" t="s">
        <v>270</v>
      </c>
      <c r="C126" s="394"/>
      <c r="D126" s="394"/>
      <c r="E126" s="394"/>
      <c r="F126" s="394"/>
      <c r="G126" s="394"/>
      <c r="H126" s="394"/>
      <c r="I126" s="544"/>
      <c r="J126" s="552">
        <v>174</v>
      </c>
      <c r="K126" s="553">
        <v>141</v>
      </c>
      <c r="L126" s="553">
        <v>117</v>
      </c>
      <c r="M126" s="554">
        <v>75</v>
      </c>
      <c r="N126" s="549">
        <f t="shared" si="34"/>
        <v>507</v>
      </c>
      <c r="O126" s="394"/>
      <c r="P126" s="394"/>
      <c r="Q126" s="394"/>
      <c r="R126" s="81"/>
      <c r="S126" s="430">
        <f t="shared" si="33"/>
        <v>507</v>
      </c>
    </row>
    <row r="127" spans="2:21" ht="27" customHeight="1" thickBot="1">
      <c r="B127" s="348" t="s">
        <v>83</v>
      </c>
      <c r="C127" s="394">
        <v>0</v>
      </c>
      <c r="D127" s="394">
        <v>0</v>
      </c>
      <c r="E127" s="394">
        <v>0</v>
      </c>
      <c r="F127" s="394">
        <v>0</v>
      </c>
      <c r="G127" s="394">
        <v>0</v>
      </c>
      <c r="H127" s="394">
        <v>0</v>
      </c>
      <c r="I127" s="544"/>
      <c r="J127" s="555">
        <v>192</v>
      </c>
      <c r="K127" s="556">
        <v>120</v>
      </c>
      <c r="L127" s="556">
        <v>105</v>
      </c>
      <c r="M127" s="557">
        <v>98</v>
      </c>
      <c r="N127" s="558">
        <f t="shared" si="34"/>
        <v>515</v>
      </c>
      <c r="O127" s="492">
        <v>0</v>
      </c>
      <c r="P127" s="492">
        <v>0</v>
      </c>
      <c r="Q127" s="492">
        <v>0</v>
      </c>
      <c r="R127" s="132"/>
      <c r="S127" s="430">
        <f t="shared" si="33"/>
        <v>515</v>
      </c>
    </row>
    <row r="128" spans="2:21" ht="27.75" customHeight="1" thickBot="1">
      <c r="B128" s="349" t="s">
        <v>275</v>
      </c>
      <c r="C128" s="394">
        <v>0</v>
      </c>
      <c r="D128" s="394">
        <v>0</v>
      </c>
      <c r="E128" s="394">
        <v>0</v>
      </c>
      <c r="F128" s="394">
        <v>0</v>
      </c>
      <c r="G128" s="394">
        <v>0</v>
      </c>
      <c r="H128" s="394">
        <v>0</v>
      </c>
      <c r="I128" s="544"/>
      <c r="J128" s="390">
        <v>0</v>
      </c>
      <c r="K128" s="390">
        <v>0</v>
      </c>
      <c r="L128" s="390">
        <v>0</v>
      </c>
      <c r="M128" s="390">
        <v>0</v>
      </c>
      <c r="N128" s="1082"/>
      <c r="O128" s="559">
        <v>133</v>
      </c>
      <c r="P128" s="559">
        <v>133</v>
      </c>
      <c r="Q128" s="560">
        <v>151</v>
      </c>
      <c r="R128" s="133">
        <f t="shared" ref="R128:R130" si="35">SUM(O128:Q128)</f>
        <v>417</v>
      </c>
      <c r="S128" s="430">
        <f t="shared" si="33"/>
        <v>417</v>
      </c>
    </row>
    <row r="129" spans="2:21" ht="25.5" customHeight="1" thickBot="1">
      <c r="B129" s="349" t="s">
        <v>84</v>
      </c>
      <c r="C129" s="394">
        <v>0</v>
      </c>
      <c r="D129" s="394">
        <v>0</v>
      </c>
      <c r="E129" s="394">
        <v>0</v>
      </c>
      <c r="F129" s="394">
        <v>0</v>
      </c>
      <c r="G129" s="394">
        <v>0</v>
      </c>
      <c r="H129" s="394">
        <v>0</v>
      </c>
      <c r="I129" s="544"/>
      <c r="J129" s="394">
        <v>0</v>
      </c>
      <c r="K129" s="394">
        <v>0</v>
      </c>
      <c r="L129" s="394">
        <v>0</v>
      </c>
      <c r="M129" s="394">
        <v>0</v>
      </c>
      <c r="N129" s="1083"/>
      <c r="O129" s="559">
        <v>244</v>
      </c>
      <c r="P129" s="559">
        <v>259</v>
      </c>
      <c r="Q129" s="560">
        <v>233</v>
      </c>
      <c r="R129" s="133">
        <f t="shared" si="35"/>
        <v>736</v>
      </c>
      <c r="S129" s="430">
        <f t="shared" si="33"/>
        <v>736</v>
      </c>
    </row>
    <row r="130" spans="2:21" ht="30.75" customHeight="1" thickBot="1">
      <c r="B130" s="350" t="s">
        <v>85</v>
      </c>
      <c r="C130" s="394">
        <v>0</v>
      </c>
      <c r="D130" s="394">
        <v>0</v>
      </c>
      <c r="E130" s="394">
        <v>0</v>
      </c>
      <c r="F130" s="394">
        <v>0</v>
      </c>
      <c r="G130" s="394">
        <v>0</v>
      </c>
      <c r="H130" s="394">
        <v>0</v>
      </c>
      <c r="I130" s="544"/>
      <c r="J130" s="394">
        <v>0</v>
      </c>
      <c r="K130" s="394">
        <v>0</v>
      </c>
      <c r="L130" s="394">
        <v>0</v>
      </c>
      <c r="M130" s="394">
        <v>0</v>
      </c>
      <c r="N130" s="1084"/>
      <c r="O130" s="561">
        <v>194</v>
      </c>
      <c r="P130" s="561">
        <v>126</v>
      </c>
      <c r="Q130" s="562">
        <v>158</v>
      </c>
      <c r="R130" s="89">
        <f t="shared" si="35"/>
        <v>478</v>
      </c>
      <c r="S130" s="564">
        <f t="shared" si="33"/>
        <v>478</v>
      </c>
    </row>
    <row r="131" spans="2:21" ht="33.75" customHeight="1" thickBot="1">
      <c r="B131" s="135" t="s">
        <v>23</v>
      </c>
      <c r="C131" s="670">
        <f>C101+C102+C103+C104+C105+C106+C107+C108+C109+C110+C111+C112+C113+C114+C115+C116+C117+C118+C119+C120</f>
        <v>792</v>
      </c>
      <c r="D131" s="670">
        <f t="shared" ref="D131:H131" si="36">D101+D102+D103+D104+D105+D106+D107+D108+D109+D110+D111+D112+D113+D114+D115+D116+D117+D118+D119+D120</f>
        <v>945</v>
      </c>
      <c r="E131" s="670">
        <f t="shared" si="36"/>
        <v>1187</v>
      </c>
      <c r="F131" s="670">
        <f t="shared" si="36"/>
        <v>1112</v>
      </c>
      <c r="G131" s="670">
        <f t="shared" si="36"/>
        <v>1107</v>
      </c>
      <c r="H131" s="670">
        <f t="shared" si="36"/>
        <v>1031</v>
      </c>
      <c r="I131" s="671">
        <f>I101+I102+I103+I104+I105+I106+I107+I108+I109+I110+I111+I112+I113+I114+I115+I116+I117+I118+I119+I120</f>
        <v>6174</v>
      </c>
      <c r="J131" s="672">
        <f t="shared" ref="J131:M131" si="37">J121+J122+J123+J124+J125+J126+J127</f>
        <v>1562</v>
      </c>
      <c r="K131" s="672">
        <f t="shared" si="37"/>
        <v>1095</v>
      </c>
      <c r="L131" s="672">
        <f t="shared" si="37"/>
        <v>879</v>
      </c>
      <c r="M131" s="672">
        <f t="shared" si="37"/>
        <v>836</v>
      </c>
      <c r="N131" s="672">
        <f>N121+N122+N123+N124+N125+N126+N127</f>
        <v>4372</v>
      </c>
      <c r="O131" s="673">
        <f>O128+O129+O130</f>
        <v>571</v>
      </c>
      <c r="P131" s="673">
        <f>P128+P129+P130</f>
        <v>518</v>
      </c>
      <c r="Q131" s="673">
        <f>Q128+Q129+Q130</f>
        <v>542</v>
      </c>
      <c r="R131" s="481">
        <f>R128+R129+R130</f>
        <v>1631</v>
      </c>
      <c r="S131" s="669">
        <f>R131+N131+I131</f>
        <v>12177</v>
      </c>
    </row>
    <row r="132" spans="2:21" s="37" customFormat="1" ht="33.75" customHeight="1">
      <c r="B132" s="99"/>
      <c r="C132" s="762"/>
      <c r="D132" s="762"/>
      <c r="E132" s="762"/>
      <c r="F132" s="762"/>
      <c r="G132" s="762"/>
      <c r="H132" s="762"/>
      <c r="I132" s="763"/>
      <c r="J132" s="764"/>
      <c r="K132" s="764"/>
      <c r="L132" s="764"/>
      <c r="M132" s="764"/>
      <c r="N132" s="764"/>
      <c r="O132" s="765"/>
      <c r="P132" s="765"/>
      <c r="Q132" s="765"/>
      <c r="R132" s="766"/>
      <c r="S132" s="767"/>
    </row>
    <row r="133" spans="2:21" s="37" customFormat="1" ht="15.75">
      <c r="B133" s="138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2"/>
      <c r="T133" s="43"/>
    </row>
    <row r="134" spans="2:21" ht="15.75">
      <c r="B134" s="1086" t="s">
        <v>4</v>
      </c>
      <c r="C134" s="1086"/>
      <c r="D134" s="1086"/>
      <c r="E134" s="1086"/>
      <c r="F134" s="1086"/>
      <c r="G134" s="1086"/>
      <c r="H134" s="1086"/>
      <c r="I134" s="1086"/>
      <c r="J134" s="1086"/>
      <c r="K134" s="1086"/>
      <c r="L134" s="1086"/>
      <c r="M134" s="1086"/>
      <c r="N134" s="1086"/>
      <c r="O134" s="1086"/>
      <c r="P134" s="1086"/>
      <c r="Q134" s="1086"/>
      <c r="R134" s="104"/>
      <c r="S134" s="104"/>
    </row>
    <row r="135" spans="2:21" ht="15.75">
      <c r="B135" s="863" t="s">
        <v>211</v>
      </c>
      <c r="C135" s="863"/>
      <c r="D135" s="863"/>
      <c r="E135" s="863"/>
      <c r="F135" s="863"/>
      <c r="G135" s="863"/>
      <c r="H135" s="863"/>
      <c r="I135" s="863"/>
      <c r="J135" s="863"/>
      <c r="K135" s="863"/>
      <c r="L135" s="863"/>
      <c r="M135" s="863"/>
      <c r="N135" s="863"/>
      <c r="O135" s="863"/>
      <c r="P135" s="863"/>
      <c r="Q135" s="863"/>
      <c r="R135" s="863"/>
      <c r="S135" s="863"/>
    </row>
    <row r="136" spans="2:21" ht="15.75">
      <c r="B136" s="863" t="s">
        <v>219</v>
      </c>
      <c r="C136" s="863"/>
      <c r="D136" s="863"/>
      <c r="E136" s="863"/>
      <c r="F136" s="863"/>
      <c r="G136" s="863"/>
      <c r="H136" s="863"/>
      <c r="I136" s="863"/>
      <c r="J136" s="863"/>
      <c r="K136" s="863"/>
      <c r="L136" s="863"/>
      <c r="M136" s="863"/>
      <c r="N136" s="863"/>
      <c r="O136" s="863"/>
      <c r="P136" s="863"/>
      <c r="Q136" s="863"/>
      <c r="R136" s="863"/>
      <c r="S136" s="863"/>
    </row>
    <row r="137" spans="2:21" ht="16.5" thickBot="1">
      <c r="B137" s="104" t="s">
        <v>5</v>
      </c>
      <c r="C137" s="105"/>
      <c r="D137" s="105"/>
      <c r="E137" s="105"/>
      <c r="F137" s="865" t="s">
        <v>293</v>
      </c>
      <c r="G137" s="865"/>
      <c r="H137" s="865"/>
      <c r="I137" s="865"/>
      <c r="J137" s="865"/>
      <c r="K137" s="865"/>
      <c r="L137" s="865"/>
      <c r="M137" s="865"/>
      <c r="N137" s="865"/>
      <c r="O137" s="865"/>
      <c r="P137" s="864"/>
      <c r="Q137" s="864"/>
      <c r="R137" s="864"/>
      <c r="S137" s="56"/>
    </row>
    <row r="138" spans="2:21">
      <c r="B138" s="866" t="s">
        <v>3</v>
      </c>
      <c r="C138" s="869" t="s">
        <v>6</v>
      </c>
      <c r="D138" s="870"/>
      <c r="E138" s="870"/>
      <c r="F138" s="870"/>
      <c r="G138" s="870"/>
      <c r="H138" s="870"/>
      <c r="I138" s="871"/>
      <c r="J138" s="875" t="s">
        <v>7</v>
      </c>
      <c r="K138" s="876"/>
      <c r="L138" s="876"/>
      <c r="M138" s="876"/>
      <c r="N138" s="877"/>
      <c r="O138" s="881" t="s">
        <v>8</v>
      </c>
      <c r="P138" s="882"/>
      <c r="Q138" s="882"/>
      <c r="R138" s="883"/>
      <c r="S138" s="905" t="s">
        <v>0</v>
      </c>
    </row>
    <row r="139" spans="2:21" ht="15.75" thickBot="1">
      <c r="B139" s="867"/>
      <c r="C139" s="872"/>
      <c r="D139" s="873"/>
      <c r="E139" s="873"/>
      <c r="F139" s="873"/>
      <c r="G139" s="873"/>
      <c r="H139" s="873"/>
      <c r="I139" s="874"/>
      <c r="J139" s="878"/>
      <c r="K139" s="879"/>
      <c r="L139" s="879"/>
      <c r="M139" s="879"/>
      <c r="N139" s="880"/>
      <c r="O139" s="884"/>
      <c r="P139" s="885"/>
      <c r="Q139" s="885"/>
      <c r="R139" s="886"/>
      <c r="S139" s="891"/>
    </row>
    <row r="140" spans="2:21" ht="16.5" thickBot="1">
      <c r="B140" s="868"/>
      <c r="C140" s="139" t="s">
        <v>10</v>
      </c>
      <c r="D140" s="140" t="s">
        <v>11</v>
      </c>
      <c r="E140" s="140" t="s">
        <v>12</v>
      </c>
      <c r="F140" s="140" t="s">
        <v>13</v>
      </c>
      <c r="G140" s="140" t="s">
        <v>14</v>
      </c>
      <c r="H140" s="141" t="s">
        <v>15</v>
      </c>
      <c r="I140" s="125" t="s">
        <v>16</v>
      </c>
      <c r="J140" s="118" t="s">
        <v>11</v>
      </c>
      <c r="K140" s="119" t="s">
        <v>12</v>
      </c>
      <c r="L140" s="119" t="s">
        <v>13</v>
      </c>
      <c r="M140" s="120" t="s">
        <v>14</v>
      </c>
      <c r="N140" s="142" t="s">
        <v>16</v>
      </c>
      <c r="O140" s="118" t="s">
        <v>11</v>
      </c>
      <c r="P140" s="120" t="s">
        <v>12</v>
      </c>
      <c r="Q140" s="119" t="s">
        <v>13</v>
      </c>
      <c r="R140" s="143" t="s">
        <v>16</v>
      </c>
      <c r="S140" s="891"/>
      <c r="U140" s="14" t="s">
        <v>220</v>
      </c>
    </row>
    <row r="141" spans="2:21" ht="27.75" customHeight="1" thickBot="1">
      <c r="B141" s="94" t="s">
        <v>68</v>
      </c>
      <c r="C141" s="361">
        <v>28</v>
      </c>
      <c r="D141" s="361">
        <v>41</v>
      </c>
      <c r="E141" s="361">
        <v>78</v>
      </c>
      <c r="F141" s="361">
        <v>82</v>
      </c>
      <c r="G141" s="361">
        <v>83</v>
      </c>
      <c r="H141" s="361">
        <v>57</v>
      </c>
      <c r="I141" s="426">
        <f t="shared" ref="I141:I166" si="38">SUM(C141:H141)</f>
        <v>369</v>
      </c>
      <c r="J141" s="427">
        <v>0</v>
      </c>
      <c r="K141" s="390">
        <v>0</v>
      </c>
      <c r="L141" s="390">
        <v>0</v>
      </c>
      <c r="M141" s="390">
        <v>0</v>
      </c>
      <c r="N141" s="515"/>
      <c r="O141" s="73">
        <v>0</v>
      </c>
      <c r="P141" s="73">
        <v>0</v>
      </c>
      <c r="Q141" s="73">
        <v>0</v>
      </c>
      <c r="R141" s="146"/>
      <c r="S141" s="523">
        <f t="shared" ref="S141:S166" si="39">R141+N141+I141</f>
        <v>369</v>
      </c>
      <c r="U141" s="8"/>
    </row>
    <row r="142" spans="2:21" ht="30" customHeight="1" thickBot="1">
      <c r="B142" s="148" t="s">
        <v>86</v>
      </c>
      <c r="C142" s="361">
        <v>47</v>
      </c>
      <c r="D142" s="361">
        <v>65</v>
      </c>
      <c r="E142" s="361">
        <v>92</v>
      </c>
      <c r="F142" s="361">
        <v>77</v>
      </c>
      <c r="G142" s="361">
        <v>95</v>
      </c>
      <c r="H142" s="361">
        <v>84</v>
      </c>
      <c r="I142" s="516">
        <f t="shared" si="38"/>
        <v>460</v>
      </c>
      <c r="J142" s="433">
        <v>0</v>
      </c>
      <c r="K142" s="394">
        <v>0</v>
      </c>
      <c r="L142" s="394">
        <v>0</v>
      </c>
      <c r="M142" s="394">
        <v>0</v>
      </c>
      <c r="N142" s="517"/>
      <c r="O142" s="79">
        <v>0</v>
      </c>
      <c r="P142" s="79">
        <v>0</v>
      </c>
      <c r="Q142" s="79">
        <v>0</v>
      </c>
      <c r="R142" s="150"/>
      <c r="S142" s="523">
        <f t="shared" si="39"/>
        <v>460</v>
      </c>
      <c r="U142" s="8"/>
    </row>
    <row r="143" spans="2:21" ht="28.5" customHeight="1" thickBot="1">
      <c r="B143" s="77" t="s">
        <v>215</v>
      </c>
      <c r="C143" s="361">
        <v>0</v>
      </c>
      <c r="D143" s="361">
        <v>4</v>
      </c>
      <c r="E143" s="361">
        <v>2</v>
      </c>
      <c r="F143" s="361">
        <v>0</v>
      </c>
      <c r="G143" s="361">
        <v>2</v>
      </c>
      <c r="H143" s="361">
        <v>0</v>
      </c>
      <c r="I143" s="516">
        <f t="shared" si="38"/>
        <v>8</v>
      </c>
      <c r="J143" s="518">
        <v>0</v>
      </c>
      <c r="K143" s="492">
        <v>0</v>
      </c>
      <c r="L143" s="492">
        <v>0</v>
      </c>
      <c r="M143" s="492">
        <v>0</v>
      </c>
      <c r="N143" s="519"/>
      <c r="O143" s="79">
        <v>0</v>
      </c>
      <c r="P143" s="79">
        <v>0</v>
      </c>
      <c r="Q143" s="79">
        <v>0</v>
      </c>
      <c r="R143" s="150"/>
      <c r="S143" s="523">
        <f t="shared" si="39"/>
        <v>8</v>
      </c>
      <c r="U143" s="8"/>
    </row>
    <row r="144" spans="2:21" ht="34.5" customHeight="1" thickBot="1">
      <c r="B144" s="153" t="s">
        <v>87</v>
      </c>
      <c r="C144" s="942"/>
      <c r="D144" s="943"/>
      <c r="E144" s="943"/>
      <c r="F144" s="943"/>
      <c r="G144" s="943"/>
      <c r="H144" s="943"/>
      <c r="I144" s="944"/>
      <c r="J144" s="520">
        <v>171</v>
      </c>
      <c r="K144" s="521">
        <v>87</v>
      </c>
      <c r="L144" s="521">
        <v>92</v>
      </c>
      <c r="M144" s="521">
        <v>83</v>
      </c>
      <c r="N144" s="522">
        <f t="shared" ref="N144" si="40">SUM(J144:M144)</f>
        <v>433</v>
      </c>
      <c r="O144" s="78">
        <v>0</v>
      </c>
      <c r="P144" s="79">
        <v>0</v>
      </c>
      <c r="Q144" s="79">
        <v>0</v>
      </c>
      <c r="R144" s="150"/>
      <c r="S144" s="523">
        <f t="shared" si="39"/>
        <v>433</v>
      </c>
      <c r="U144" s="8"/>
    </row>
    <row r="145" spans="2:21" ht="23.25" customHeight="1">
      <c r="B145" s="940"/>
      <c r="C145" s="78"/>
      <c r="D145" s="79"/>
      <c r="E145" s="79"/>
      <c r="F145" s="79"/>
      <c r="G145" s="79"/>
      <c r="H145" s="79"/>
      <c r="I145" s="154"/>
      <c r="J145" s="79">
        <v>0</v>
      </c>
      <c r="K145" s="73">
        <v>0</v>
      </c>
      <c r="L145" s="73">
        <v>0</v>
      </c>
      <c r="M145" s="73">
        <v>0</v>
      </c>
      <c r="N145" s="145"/>
      <c r="O145" s="79">
        <v>0</v>
      </c>
      <c r="P145" s="79">
        <v>0</v>
      </c>
      <c r="Q145" s="79">
        <v>0</v>
      </c>
      <c r="R145" s="150"/>
      <c r="S145" s="890"/>
      <c r="U145" s="17"/>
    </row>
    <row r="146" spans="2:21" ht="23.25" customHeight="1">
      <c r="B146" s="909"/>
      <c r="C146" s="78">
        <v>0</v>
      </c>
      <c r="D146" s="79">
        <v>0</v>
      </c>
      <c r="E146" s="79">
        <v>0</v>
      </c>
      <c r="F146" s="79">
        <v>0</v>
      </c>
      <c r="G146" s="79">
        <v>0</v>
      </c>
      <c r="H146" s="79">
        <v>0</v>
      </c>
      <c r="I146" s="154"/>
      <c r="J146" s="79">
        <v>0</v>
      </c>
      <c r="K146" s="79">
        <v>0</v>
      </c>
      <c r="L146" s="79">
        <v>0</v>
      </c>
      <c r="M146" s="79">
        <v>0</v>
      </c>
      <c r="N146" s="149"/>
      <c r="O146" s="79">
        <v>0</v>
      </c>
      <c r="P146" s="79">
        <v>0</v>
      </c>
      <c r="Q146" s="79">
        <v>0</v>
      </c>
      <c r="R146" s="150"/>
      <c r="S146" s="891"/>
      <c r="U146" s="17"/>
    </row>
    <row r="147" spans="2:21" ht="15.75" customHeight="1">
      <c r="B147" s="909"/>
      <c r="C147" s="78">
        <v>0</v>
      </c>
      <c r="D147" s="79">
        <v>0</v>
      </c>
      <c r="E147" s="79">
        <v>0</v>
      </c>
      <c r="F147" s="79">
        <v>0</v>
      </c>
      <c r="G147" s="79">
        <v>0</v>
      </c>
      <c r="H147" s="79">
        <v>0</v>
      </c>
      <c r="I147" s="154"/>
      <c r="J147" s="79">
        <v>0</v>
      </c>
      <c r="K147" s="79">
        <v>0</v>
      </c>
      <c r="L147" s="79">
        <v>0</v>
      </c>
      <c r="M147" s="79">
        <v>0</v>
      </c>
      <c r="N147" s="149"/>
      <c r="O147" s="79">
        <v>0</v>
      </c>
      <c r="P147" s="79">
        <v>0</v>
      </c>
      <c r="Q147" s="79">
        <v>0</v>
      </c>
      <c r="R147" s="150"/>
      <c r="S147" s="891"/>
    </row>
    <row r="148" spans="2:21" ht="23.25" customHeight="1">
      <c r="B148" s="909"/>
      <c r="C148" s="78">
        <v>0</v>
      </c>
      <c r="D148" s="79">
        <v>0</v>
      </c>
      <c r="E148" s="79">
        <v>0</v>
      </c>
      <c r="F148" s="79">
        <v>0</v>
      </c>
      <c r="G148" s="79">
        <v>0</v>
      </c>
      <c r="H148" s="79">
        <v>0</v>
      </c>
      <c r="I148" s="154"/>
      <c r="J148" s="79">
        <v>0</v>
      </c>
      <c r="K148" s="79">
        <v>0</v>
      </c>
      <c r="L148" s="79">
        <v>0</v>
      </c>
      <c r="M148" s="79">
        <v>0</v>
      </c>
      <c r="N148" s="149"/>
      <c r="O148" s="79">
        <v>0</v>
      </c>
      <c r="P148" s="79">
        <v>0</v>
      </c>
      <c r="Q148" s="79">
        <v>0</v>
      </c>
      <c r="R148" s="150"/>
      <c r="S148" s="891"/>
    </row>
    <row r="149" spans="2:21" ht="23.25" customHeight="1">
      <c r="B149" s="909"/>
      <c r="C149" s="78">
        <v>0</v>
      </c>
      <c r="D149" s="79">
        <v>0</v>
      </c>
      <c r="E149" s="79">
        <v>0</v>
      </c>
      <c r="F149" s="79">
        <v>0</v>
      </c>
      <c r="G149" s="79">
        <v>0</v>
      </c>
      <c r="H149" s="79">
        <v>0</v>
      </c>
      <c r="I149" s="154"/>
      <c r="J149" s="79">
        <v>0</v>
      </c>
      <c r="K149" s="79">
        <v>0</v>
      </c>
      <c r="L149" s="79">
        <v>0</v>
      </c>
      <c r="M149" s="79">
        <v>0</v>
      </c>
      <c r="N149" s="149"/>
      <c r="O149" s="79">
        <v>0</v>
      </c>
      <c r="P149" s="79">
        <v>0</v>
      </c>
      <c r="Q149" s="79">
        <v>0</v>
      </c>
      <c r="R149" s="150"/>
      <c r="S149" s="891"/>
    </row>
    <row r="150" spans="2:21" ht="15.75" customHeight="1">
      <c r="B150" s="909"/>
      <c r="C150" s="78">
        <v>0</v>
      </c>
      <c r="D150" s="79">
        <v>0</v>
      </c>
      <c r="E150" s="79">
        <v>0</v>
      </c>
      <c r="F150" s="79">
        <v>0</v>
      </c>
      <c r="G150" s="79">
        <v>0</v>
      </c>
      <c r="H150" s="79">
        <v>0</v>
      </c>
      <c r="I150" s="154"/>
      <c r="J150" s="79">
        <v>0</v>
      </c>
      <c r="K150" s="79">
        <v>0</v>
      </c>
      <c r="L150" s="79">
        <v>0</v>
      </c>
      <c r="M150" s="79">
        <v>0</v>
      </c>
      <c r="N150" s="149"/>
      <c r="O150" s="79">
        <v>0</v>
      </c>
      <c r="P150" s="79">
        <v>0</v>
      </c>
      <c r="Q150" s="79">
        <v>0</v>
      </c>
      <c r="R150" s="150"/>
      <c r="S150" s="891"/>
    </row>
    <row r="151" spans="2:21" ht="23.25" customHeight="1">
      <c r="B151" s="909"/>
      <c r="C151" s="78">
        <v>0</v>
      </c>
      <c r="D151" s="79">
        <v>0</v>
      </c>
      <c r="E151" s="79">
        <v>0</v>
      </c>
      <c r="F151" s="79">
        <v>0</v>
      </c>
      <c r="G151" s="79">
        <v>0</v>
      </c>
      <c r="H151" s="79">
        <v>0</v>
      </c>
      <c r="I151" s="154"/>
      <c r="J151" s="79">
        <v>0</v>
      </c>
      <c r="K151" s="79">
        <v>0</v>
      </c>
      <c r="L151" s="79">
        <v>0</v>
      </c>
      <c r="M151" s="79">
        <v>0</v>
      </c>
      <c r="N151" s="149"/>
      <c r="O151" s="79">
        <v>0</v>
      </c>
      <c r="P151" s="79">
        <v>0</v>
      </c>
      <c r="Q151" s="79">
        <v>0</v>
      </c>
      <c r="R151" s="150"/>
      <c r="S151" s="891"/>
    </row>
    <row r="152" spans="2:21" ht="29.25" customHeight="1">
      <c r="B152" s="909"/>
      <c r="C152" s="78">
        <v>0</v>
      </c>
      <c r="D152" s="79">
        <v>0</v>
      </c>
      <c r="E152" s="79">
        <v>0</v>
      </c>
      <c r="F152" s="79">
        <v>0</v>
      </c>
      <c r="G152" s="79">
        <v>0</v>
      </c>
      <c r="H152" s="79">
        <v>0</v>
      </c>
      <c r="I152" s="154"/>
      <c r="J152" s="79">
        <v>0</v>
      </c>
      <c r="K152" s="79">
        <v>0</v>
      </c>
      <c r="L152" s="79">
        <v>0</v>
      </c>
      <c r="M152" s="79">
        <v>0</v>
      </c>
      <c r="N152" s="149"/>
      <c r="O152" s="79">
        <v>0</v>
      </c>
      <c r="P152" s="79">
        <v>0</v>
      </c>
      <c r="Q152" s="79">
        <v>0</v>
      </c>
      <c r="R152" s="150"/>
      <c r="S152" s="891"/>
    </row>
    <row r="153" spans="2:21" ht="23.25" customHeight="1">
      <c r="B153" s="909"/>
      <c r="C153" s="78">
        <v>0</v>
      </c>
      <c r="D153" s="79">
        <v>0</v>
      </c>
      <c r="E153" s="79">
        <v>0</v>
      </c>
      <c r="F153" s="79">
        <v>0</v>
      </c>
      <c r="G153" s="79">
        <v>0</v>
      </c>
      <c r="H153" s="79">
        <v>0</v>
      </c>
      <c r="I153" s="154"/>
      <c r="J153" s="79">
        <v>0</v>
      </c>
      <c r="K153" s="79">
        <v>0</v>
      </c>
      <c r="L153" s="79">
        <v>0</v>
      </c>
      <c r="M153" s="79">
        <v>0</v>
      </c>
      <c r="N153" s="149"/>
      <c r="O153" s="79">
        <v>0</v>
      </c>
      <c r="P153" s="79">
        <v>0</v>
      </c>
      <c r="Q153" s="79">
        <v>0</v>
      </c>
      <c r="R153" s="150"/>
      <c r="S153" s="891"/>
    </row>
    <row r="154" spans="2:21" ht="29.25" customHeight="1">
      <c r="B154" s="909"/>
      <c r="C154" s="78">
        <v>0</v>
      </c>
      <c r="D154" s="79">
        <v>0</v>
      </c>
      <c r="E154" s="79">
        <v>0</v>
      </c>
      <c r="F154" s="79">
        <v>0</v>
      </c>
      <c r="G154" s="79">
        <v>0</v>
      </c>
      <c r="H154" s="79">
        <v>0</v>
      </c>
      <c r="I154" s="154"/>
      <c r="J154" s="79">
        <v>0</v>
      </c>
      <c r="K154" s="79">
        <v>0</v>
      </c>
      <c r="L154" s="79">
        <v>0</v>
      </c>
      <c r="M154" s="79">
        <v>0</v>
      </c>
      <c r="N154" s="149"/>
      <c r="O154" s="79">
        <v>0</v>
      </c>
      <c r="P154" s="79">
        <v>0</v>
      </c>
      <c r="Q154" s="79">
        <v>0</v>
      </c>
      <c r="R154" s="150"/>
      <c r="S154" s="891"/>
    </row>
    <row r="155" spans="2:21" ht="23.25" customHeight="1">
      <c r="B155" s="909"/>
      <c r="C155" s="78">
        <v>0</v>
      </c>
      <c r="D155" s="79">
        <v>0</v>
      </c>
      <c r="E155" s="79">
        <v>0</v>
      </c>
      <c r="F155" s="79">
        <v>0</v>
      </c>
      <c r="G155" s="79">
        <v>0</v>
      </c>
      <c r="H155" s="79">
        <v>0</v>
      </c>
      <c r="I155" s="154"/>
      <c r="J155" s="79">
        <v>0</v>
      </c>
      <c r="K155" s="79">
        <v>0</v>
      </c>
      <c r="L155" s="79">
        <v>0</v>
      </c>
      <c r="M155" s="79">
        <v>0</v>
      </c>
      <c r="N155" s="149"/>
      <c r="O155" s="79">
        <v>0</v>
      </c>
      <c r="P155" s="79">
        <v>0</v>
      </c>
      <c r="Q155" s="79">
        <v>0</v>
      </c>
      <c r="R155" s="150"/>
      <c r="S155" s="891"/>
    </row>
    <row r="156" spans="2:21" ht="15.75" customHeight="1">
      <c r="B156" s="909"/>
      <c r="C156" s="78">
        <v>0</v>
      </c>
      <c r="D156" s="79">
        <v>0</v>
      </c>
      <c r="E156" s="79">
        <v>0</v>
      </c>
      <c r="F156" s="79">
        <v>0</v>
      </c>
      <c r="G156" s="79">
        <v>0</v>
      </c>
      <c r="H156" s="79">
        <v>0</v>
      </c>
      <c r="I156" s="154"/>
      <c r="J156" s="79">
        <v>0</v>
      </c>
      <c r="K156" s="79">
        <v>0</v>
      </c>
      <c r="L156" s="79">
        <v>0</v>
      </c>
      <c r="M156" s="79">
        <v>0</v>
      </c>
      <c r="N156" s="149"/>
      <c r="O156" s="79">
        <v>0</v>
      </c>
      <c r="P156" s="79">
        <v>0</v>
      </c>
      <c r="Q156" s="79">
        <v>0</v>
      </c>
      <c r="R156" s="150"/>
      <c r="S156" s="891"/>
    </row>
    <row r="157" spans="2:21" ht="23.25" customHeight="1">
      <c r="B157" s="909"/>
      <c r="C157" s="78">
        <v>0</v>
      </c>
      <c r="D157" s="79">
        <v>0</v>
      </c>
      <c r="E157" s="79">
        <v>0</v>
      </c>
      <c r="F157" s="79">
        <v>0</v>
      </c>
      <c r="G157" s="79">
        <v>0</v>
      </c>
      <c r="H157" s="79">
        <v>0</v>
      </c>
      <c r="I157" s="154"/>
      <c r="J157" s="79">
        <v>0</v>
      </c>
      <c r="K157" s="79">
        <v>0</v>
      </c>
      <c r="L157" s="79">
        <v>0</v>
      </c>
      <c r="M157" s="79">
        <v>0</v>
      </c>
      <c r="N157" s="149"/>
      <c r="O157" s="79">
        <v>0</v>
      </c>
      <c r="P157" s="79">
        <v>0</v>
      </c>
      <c r="Q157" s="79">
        <v>0</v>
      </c>
      <c r="R157" s="150"/>
      <c r="S157" s="891"/>
    </row>
    <row r="158" spans="2:21" ht="23.25" customHeight="1">
      <c r="B158" s="909"/>
      <c r="C158" s="78">
        <v>0</v>
      </c>
      <c r="D158" s="79">
        <v>0</v>
      </c>
      <c r="E158" s="79">
        <v>0</v>
      </c>
      <c r="F158" s="79">
        <v>0</v>
      </c>
      <c r="G158" s="79">
        <v>0</v>
      </c>
      <c r="H158" s="79">
        <v>0</v>
      </c>
      <c r="I158" s="154"/>
      <c r="J158" s="79">
        <v>0</v>
      </c>
      <c r="K158" s="79">
        <v>0</v>
      </c>
      <c r="L158" s="79">
        <v>0</v>
      </c>
      <c r="M158" s="79">
        <v>0</v>
      </c>
      <c r="N158" s="149"/>
      <c r="O158" s="79">
        <v>0</v>
      </c>
      <c r="P158" s="79">
        <v>0</v>
      </c>
      <c r="Q158" s="79">
        <v>0</v>
      </c>
      <c r="R158" s="150"/>
      <c r="S158" s="891"/>
    </row>
    <row r="159" spans="2:21" ht="15.75" customHeight="1">
      <c r="B159" s="909"/>
      <c r="C159" s="78">
        <v>0</v>
      </c>
      <c r="D159" s="79">
        <v>0</v>
      </c>
      <c r="E159" s="79">
        <v>0</v>
      </c>
      <c r="F159" s="79">
        <v>0</v>
      </c>
      <c r="G159" s="79">
        <v>0</v>
      </c>
      <c r="H159" s="79">
        <v>0</v>
      </c>
      <c r="I159" s="154"/>
      <c r="J159" s="79">
        <v>0</v>
      </c>
      <c r="K159" s="79">
        <v>0</v>
      </c>
      <c r="L159" s="79">
        <v>0</v>
      </c>
      <c r="M159" s="79">
        <v>0</v>
      </c>
      <c r="N159" s="149"/>
      <c r="O159" s="79">
        <v>0</v>
      </c>
      <c r="P159" s="79">
        <v>0</v>
      </c>
      <c r="Q159" s="79">
        <v>0</v>
      </c>
      <c r="R159" s="150"/>
      <c r="S159" s="891"/>
    </row>
    <row r="160" spans="2:21" ht="23.25" customHeight="1">
      <c r="B160" s="909"/>
      <c r="C160" s="78">
        <v>0</v>
      </c>
      <c r="D160" s="79">
        <v>0</v>
      </c>
      <c r="E160" s="79">
        <v>0</v>
      </c>
      <c r="F160" s="79">
        <v>0</v>
      </c>
      <c r="G160" s="79">
        <v>0</v>
      </c>
      <c r="H160" s="79">
        <v>0</v>
      </c>
      <c r="I160" s="154"/>
      <c r="J160" s="79">
        <v>0</v>
      </c>
      <c r="K160" s="79">
        <v>0</v>
      </c>
      <c r="L160" s="79">
        <v>0</v>
      </c>
      <c r="M160" s="79">
        <v>0</v>
      </c>
      <c r="N160" s="149"/>
      <c r="O160" s="79">
        <v>0</v>
      </c>
      <c r="P160" s="79">
        <v>0</v>
      </c>
      <c r="Q160" s="79">
        <v>0</v>
      </c>
      <c r="R160" s="150"/>
      <c r="S160" s="891"/>
    </row>
    <row r="161" spans="2:21" ht="23.25" customHeight="1">
      <c r="B161" s="909"/>
      <c r="C161" s="78">
        <v>0</v>
      </c>
      <c r="D161" s="79">
        <v>0</v>
      </c>
      <c r="E161" s="79">
        <v>0</v>
      </c>
      <c r="F161" s="79">
        <v>0</v>
      </c>
      <c r="G161" s="79">
        <v>0</v>
      </c>
      <c r="H161" s="79">
        <v>0</v>
      </c>
      <c r="I161" s="154"/>
      <c r="J161" s="79">
        <v>0</v>
      </c>
      <c r="K161" s="79">
        <v>0</v>
      </c>
      <c r="L161" s="79">
        <v>0</v>
      </c>
      <c r="M161" s="79">
        <v>0</v>
      </c>
      <c r="N161" s="149"/>
      <c r="O161" s="79">
        <v>0</v>
      </c>
      <c r="P161" s="79">
        <v>0</v>
      </c>
      <c r="Q161" s="79">
        <v>0</v>
      </c>
      <c r="R161" s="150"/>
      <c r="S161" s="891"/>
    </row>
    <row r="162" spans="2:21" ht="23.25" customHeight="1">
      <c r="B162" s="909"/>
      <c r="C162" s="78">
        <v>0</v>
      </c>
      <c r="D162" s="79">
        <v>0</v>
      </c>
      <c r="E162" s="79">
        <v>0</v>
      </c>
      <c r="F162" s="79">
        <v>0</v>
      </c>
      <c r="G162" s="79">
        <v>0</v>
      </c>
      <c r="H162" s="79">
        <v>0</v>
      </c>
      <c r="I162" s="154"/>
      <c r="J162" s="79">
        <v>0</v>
      </c>
      <c r="K162" s="79">
        <v>0</v>
      </c>
      <c r="L162" s="79">
        <v>0</v>
      </c>
      <c r="M162" s="79">
        <v>0</v>
      </c>
      <c r="N162" s="149"/>
      <c r="O162" s="79">
        <v>0</v>
      </c>
      <c r="P162" s="79">
        <v>0</v>
      </c>
      <c r="Q162" s="79">
        <v>0</v>
      </c>
      <c r="R162" s="150"/>
      <c r="S162" s="891"/>
    </row>
    <row r="163" spans="2:21" ht="23.25" customHeight="1">
      <c r="B163" s="909"/>
      <c r="C163" s="78">
        <v>0</v>
      </c>
      <c r="D163" s="79">
        <v>0</v>
      </c>
      <c r="E163" s="79">
        <v>0</v>
      </c>
      <c r="F163" s="79">
        <v>0</v>
      </c>
      <c r="G163" s="79">
        <v>0</v>
      </c>
      <c r="H163" s="79">
        <v>0</v>
      </c>
      <c r="I163" s="154"/>
      <c r="J163" s="79">
        <v>0</v>
      </c>
      <c r="K163" s="79">
        <v>0</v>
      </c>
      <c r="L163" s="79">
        <v>0</v>
      </c>
      <c r="M163" s="79">
        <v>0</v>
      </c>
      <c r="N163" s="149"/>
      <c r="O163" s="79">
        <v>0</v>
      </c>
      <c r="P163" s="79">
        <v>0</v>
      </c>
      <c r="Q163" s="79">
        <v>0</v>
      </c>
      <c r="R163" s="150"/>
      <c r="S163" s="891"/>
    </row>
    <row r="164" spans="2:21" ht="23.25" customHeight="1">
      <c r="B164" s="909"/>
      <c r="C164" s="78">
        <v>0</v>
      </c>
      <c r="D164" s="79">
        <v>0</v>
      </c>
      <c r="E164" s="79">
        <v>0</v>
      </c>
      <c r="F164" s="79">
        <v>0</v>
      </c>
      <c r="G164" s="79">
        <v>0</v>
      </c>
      <c r="H164" s="79">
        <v>0</v>
      </c>
      <c r="I164" s="154"/>
      <c r="J164" s="79">
        <v>0</v>
      </c>
      <c r="K164" s="79">
        <v>0</v>
      </c>
      <c r="L164" s="79">
        <v>0</v>
      </c>
      <c r="M164" s="79">
        <v>0</v>
      </c>
      <c r="N164" s="149"/>
      <c r="O164" s="79">
        <v>0</v>
      </c>
      <c r="P164" s="79">
        <v>0</v>
      </c>
      <c r="Q164" s="79">
        <v>0</v>
      </c>
      <c r="R164" s="150"/>
      <c r="S164" s="941"/>
    </row>
    <row r="165" spans="2:21" ht="16.5" thickBot="1">
      <c r="B165" s="910"/>
      <c r="C165" s="83">
        <v>0</v>
      </c>
      <c r="D165" s="84">
        <v>0</v>
      </c>
      <c r="E165" s="84">
        <v>0</v>
      </c>
      <c r="F165" s="84">
        <v>0</v>
      </c>
      <c r="G165" s="84">
        <v>0</v>
      </c>
      <c r="H165" s="84">
        <v>0</v>
      </c>
      <c r="I165" s="155"/>
      <c r="J165" s="84">
        <v>0</v>
      </c>
      <c r="K165" s="84">
        <v>0</v>
      </c>
      <c r="L165" s="84">
        <v>0</v>
      </c>
      <c r="M165" s="84">
        <v>0</v>
      </c>
      <c r="N165" s="152"/>
      <c r="O165" s="84">
        <v>0</v>
      </c>
      <c r="P165" s="84">
        <v>0</v>
      </c>
      <c r="Q165" s="84">
        <v>0</v>
      </c>
      <c r="R165" s="156"/>
      <c r="S165" s="147"/>
    </row>
    <row r="166" spans="2:21" ht="37.5" customHeight="1" thickBot="1">
      <c r="B166" s="97" t="s">
        <v>23</v>
      </c>
      <c r="C166" s="524">
        <f>C141+C142+C143</f>
        <v>75</v>
      </c>
      <c r="D166" s="524">
        <f t="shared" ref="D166:H166" si="41">D141+D142+D143</f>
        <v>110</v>
      </c>
      <c r="E166" s="524">
        <f t="shared" si="41"/>
        <v>172</v>
      </c>
      <c r="F166" s="524">
        <f t="shared" si="41"/>
        <v>159</v>
      </c>
      <c r="G166" s="524">
        <f t="shared" si="41"/>
        <v>180</v>
      </c>
      <c r="H166" s="524">
        <f t="shared" si="41"/>
        <v>141</v>
      </c>
      <c r="I166" s="525">
        <f t="shared" si="38"/>
        <v>837</v>
      </c>
      <c r="J166" s="526">
        <f>J144</f>
        <v>171</v>
      </c>
      <c r="K166" s="526">
        <f t="shared" ref="K166:M166" si="42">K144</f>
        <v>87</v>
      </c>
      <c r="L166" s="526">
        <f t="shared" si="42"/>
        <v>92</v>
      </c>
      <c r="M166" s="526">
        <f t="shared" si="42"/>
        <v>83</v>
      </c>
      <c r="N166" s="527">
        <f>N144</f>
        <v>433</v>
      </c>
      <c r="O166" s="528">
        <f>SUM(O141:O165)</f>
        <v>0</v>
      </c>
      <c r="P166" s="529">
        <f>SUM(P141:P165)</f>
        <v>0</v>
      </c>
      <c r="Q166" s="530">
        <f>SUM(Q141:Q165)</f>
        <v>0</v>
      </c>
      <c r="R166" s="531">
        <f t="shared" ref="R166" si="43">SUM(O166:Q166)</f>
        <v>0</v>
      </c>
      <c r="S166" s="532">
        <f t="shared" si="39"/>
        <v>1270</v>
      </c>
    </row>
    <row r="167" spans="2:21" s="37" customFormat="1" ht="37.5" customHeight="1">
      <c r="B167" s="157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 spans="2:21" ht="15.75">
      <c r="B168" s="863" t="s">
        <v>4</v>
      </c>
      <c r="C168" s="863"/>
      <c r="D168" s="863"/>
      <c r="E168" s="863"/>
      <c r="F168" s="863"/>
      <c r="G168" s="863"/>
      <c r="H168" s="863"/>
      <c r="I168" s="863"/>
      <c r="J168" s="863"/>
      <c r="K168" s="863"/>
      <c r="L168" s="863"/>
      <c r="M168" s="863"/>
      <c r="N168" s="863"/>
      <c r="O168" s="863"/>
      <c r="P168" s="863"/>
      <c r="Q168" s="863"/>
      <c r="R168" s="863"/>
      <c r="S168" s="863"/>
    </row>
    <row r="169" spans="2:21" ht="15.75">
      <c r="B169" s="863" t="s">
        <v>211</v>
      </c>
      <c r="C169" s="863"/>
      <c r="D169" s="863"/>
      <c r="E169" s="863"/>
      <c r="F169" s="863"/>
      <c r="G169" s="863"/>
      <c r="H169" s="863"/>
      <c r="I169" s="863"/>
      <c r="J169" s="863"/>
      <c r="K169" s="863"/>
      <c r="L169" s="863"/>
      <c r="M169" s="863"/>
      <c r="N169" s="863"/>
      <c r="O169" s="863"/>
      <c r="P169" s="863"/>
      <c r="Q169" s="863"/>
      <c r="R169" s="863"/>
      <c r="S169" s="863"/>
    </row>
    <row r="170" spans="2:21" ht="29.25" customHeight="1">
      <c r="B170" s="863" t="s">
        <v>219</v>
      </c>
      <c r="C170" s="863"/>
      <c r="D170" s="863"/>
      <c r="E170" s="863"/>
      <c r="F170" s="863"/>
      <c r="G170" s="863"/>
      <c r="H170" s="863"/>
      <c r="I170" s="863"/>
      <c r="J170" s="863"/>
      <c r="K170" s="863"/>
      <c r="L170" s="863"/>
      <c r="M170" s="863"/>
      <c r="N170" s="863"/>
      <c r="O170" s="863"/>
      <c r="P170" s="863"/>
      <c r="Q170" s="863"/>
      <c r="R170" s="863"/>
      <c r="S170" s="863"/>
    </row>
    <row r="171" spans="2:21" ht="16.5" thickBot="1">
      <c r="B171" s="104" t="s">
        <v>5</v>
      </c>
      <c r="C171" s="105"/>
      <c r="D171" s="105"/>
      <c r="E171" s="105"/>
      <c r="F171" s="865" t="s">
        <v>294</v>
      </c>
      <c r="G171" s="865"/>
      <c r="H171" s="865"/>
      <c r="I171" s="865"/>
      <c r="J171" s="865"/>
      <c r="K171" s="865"/>
      <c r="L171" s="865"/>
      <c r="M171" s="865"/>
      <c r="N171" s="865"/>
      <c r="O171" s="865"/>
      <c r="P171" s="864"/>
      <c r="Q171" s="864"/>
      <c r="R171" s="864"/>
      <c r="S171" s="56"/>
    </row>
    <row r="172" spans="2:21" ht="23.25" customHeight="1">
      <c r="B172" s="945" t="s">
        <v>3</v>
      </c>
      <c r="C172" s="924" t="s">
        <v>6</v>
      </c>
      <c r="D172" s="925"/>
      <c r="E172" s="925"/>
      <c r="F172" s="925"/>
      <c r="G172" s="925"/>
      <c r="H172" s="925"/>
      <c r="I172" s="926"/>
      <c r="J172" s="930" t="s">
        <v>7</v>
      </c>
      <c r="K172" s="931"/>
      <c r="L172" s="931"/>
      <c r="M172" s="931"/>
      <c r="N172" s="932"/>
      <c r="O172" s="936" t="s">
        <v>8</v>
      </c>
      <c r="P172" s="937"/>
      <c r="Q172" s="937"/>
      <c r="R172" s="937"/>
      <c r="S172" s="159"/>
    </row>
    <row r="173" spans="2:21" ht="16.5" thickBot="1">
      <c r="B173" s="946"/>
      <c r="C173" s="927"/>
      <c r="D173" s="928"/>
      <c r="E173" s="928"/>
      <c r="F173" s="928"/>
      <c r="G173" s="928"/>
      <c r="H173" s="928"/>
      <c r="I173" s="929"/>
      <c r="J173" s="933"/>
      <c r="K173" s="934"/>
      <c r="L173" s="934"/>
      <c r="M173" s="934"/>
      <c r="N173" s="935"/>
      <c r="O173" s="938"/>
      <c r="P173" s="939"/>
      <c r="Q173" s="939"/>
      <c r="R173" s="939"/>
      <c r="S173" s="60" t="s">
        <v>0</v>
      </c>
    </row>
    <row r="174" spans="2:21" ht="27" customHeight="1" thickBot="1">
      <c r="B174" s="947"/>
      <c r="C174" s="160" t="s">
        <v>10</v>
      </c>
      <c r="D174" s="161" t="s">
        <v>11</v>
      </c>
      <c r="E174" s="161" t="s">
        <v>12</v>
      </c>
      <c r="F174" s="161" t="s">
        <v>13</v>
      </c>
      <c r="G174" s="161" t="s">
        <v>14</v>
      </c>
      <c r="H174" s="162" t="s">
        <v>15</v>
      </c>
      <c r="I174" s="163" t="s">
        <v>16</v>
      </c>
      <c r="J174" s="164" t="s">
        <v>11</v>
      </c>
      <c r="K174" s="165" t="s">
        <v>12</v>
      </c>
      <c r="L174" s="165" t="s">
        <v>13</v>
      </c>
      <c r="M174" s="166" t="s">
        <v>14</v>
      </c>
      <c r="N174" s="167" t="s">
        <v>16</v>
      </c>
      <c r="O174" s="164" t="s">
        <v>11</v>
      </c>
      <c r="P174" s="166" t="s">
        <v>12</v>
      </c>
      <c r="Q174" s="165" t="s">
        <v>13</v>
      </c>
      <c r="R174" s="168" t="s">
        <v>16</v>
      </c>
      <c r="S174" s="69"/>
      <c r="U174" s="14" t="s">
        <v>220</v>
      </c>
    </row>
    <row r="175" spans="2:21" ht="25.5" customHeight="1" thickBot="1">
      <c r="B175" s="70" t="s">
        <v>88</v>
      </c>
      <c r="C175" s="361">
        <v>79</v>
      </c>
      <c r="D175" s="361">
        <v>117</v>
      </c>
      <c r="E175" s="361">
        <v>128</v>
      </c>
      <c r="F175" s="361">
        <v>134</v>
      </c>
      <c r="G175" s="361">
        <v>133</v>
      </c>
      <c r="H175" s="361">
        <v>143</v>
      </c>
      <c r="I175" s="426">
        <f>H175+G175+F175+E175+D175+C175</f>
        <v>734</v>
      </c>
      <c r="J175" s="427">
        <v>0</v>
      </c>
      <c r="K175" s="390">
        <v>0</v>
      </c>
      <c r="L175" s="390">
        <v>0</v>
      </c>
      <c r="M175" s="390">
        <v>0</v>
      </c>
      <c r="N175" s="482">
        <f t="shared" ref="N175:N194" si="44">SUM(J175:M175)</f>
        <v>0</v>
      </c>
      <c r="O175" s="390">
        <v>0</v>
      </c>
      <c r="P175" s="390">
        <v>0</v>
      </c>
      <c r="Q175" s="390">
        <v>0</v>
      </c>
      <c r="R175" s="429"/>
      <c r="S175" s="430">
        <f t="shared" ref="S175:S203" si="45">R175+N175+I175</f>
        <v>734</v>
      </c>
      <c r="U175" s="8"/>
    </row>
    <row r="176" spans="2:21" ht="24.75" customHeight="1" thickBot="1">
      <c r="B176" s="77" t="s">
        <v>89</v>
      </c>
      <c r="C176" s="361">
        <v>20</v>
      </c>
      <c r="D176" s="361">
        <v>36</v>
      </c>
      <c r="E176" s="361">
        <v>26</v>
      </c>
      <c r="F176" s="361">
        <v>30</v>
      </c>
      <c r="G176" s="361">
        <v>35</v>
      </c>
      <c r="H176" s="361">
        <v>26</v>
      </c>
      <c r="I176" s="426">
        <f t="shared" ref="I176:I192" si="46">H176+G176+F176+E176+D176+C176</f>
        <v>173</v>
      </c>
      <c r="J176" s="433">
        <v>0</v>
      </c>
      <c r="K176" s="394">
        <v>0</v>
      </c>
      <c r="L176" s="394">
        <v>0</v>
      </c>
      <c r="M176" s="394">
        <v>0</v>
      </c>
      <c r="N176" s="483">
        <f t="shared" si="44"/>
        <v>0</v>
      </c>
      <c r="O176" s="394">
        <v>0</v>
      </c>
      <c r="P176" s="394">
        <v>0</v>
      </c>
      <c r="Q176" s="394">
        <v>0</v>
      </c>
      <c r="R176" s="435"/>
      <c r="S176" s="430">
        <f t="shared" si="45"/>
        <v>173</v>
      </c>
      <c r="U176" s="8"/>
    </row>
    <row r="177" spans="2:21" ht="27" customHeight="1" thickBot="1">
      <c r="B177" s="77" t="s">
        <v>90</v>
      </c>
      <c r="C177" s="361">
        <v>100</v>
      </c>
      <c r="D177" s="361">
        <v>117</v>
      </c>
      <c r="E177" s="361">
        <v>138</v>
      </c>
      <c r="F177" s="361">
        <v>164</v>
      </c>
      <c r="G177" s="361">
        <v>141</v>
      </c>
      <c r="H177" s="361">
        <v>99</v>
      </c>
      <c r="I177" s="426">
        <f t="shared" si="46"/>
        <v>759</v>
      </c>
      <c r="J177" s="433">
        <v>0</v>
      </c>
      <c r="K177" s="394">
        <v>0</v>
      </c>
      <c r="L177" s="394">
        <v>0</v>
      </c>
      <c r="M177" s="394">
        <v>0</v>
      </c>
      <c r="N177" s="483">
        <f t="shared" si="44"/>
        <v>0</v>
      </c>
      <c r="O177" s="394">
        <v>0</v>
      </c>
      <c r="P177" s="394">
        <v>0</v>
      </c>
      <c r="Q177" s="394">
        <v>0</v>
      </c>
      <c r="R177" s="435"/>
      <c r="S177" s="430">
        <f t="shared" si="45"/>
        <v>759</v>
      </c>
      <c r="U177" s="8"/>
    </row>
    <row r="178" spans="2:21" ht="24.75" customHeight="1" thickBot="1">
      <c r="B178" s="77" t="s">
        <v>91</v>
      </c>
      <c r="C178" s="361">
        <v>37</v>
      </c>
      <c r="D178" s="361">
        <v>39</v>
      </c>
      <c r="E178" s="361">
        <v>37</v>
      </c>
      <c r="F178" s="361">
        <v>46</v>
      </c>
      <c r="G178" s="361">
        <v>37</v>
      </c>
      <c r="H178" s="361">
        <v>43</v>
      </c>
      <c r="I178" s="426">
        <f t="shared" si="46"/>
        <v>239</v>
      </c>
      <c r="J178" s="433">
        <v>0</v>
      </c>
      <c r="K178" s="394">
        <v>0</v>
      </c>
      <c r="L178" s="394">
        <v>0</v>
      </c>
      <c r="M178" s="394">
        <v>0</v>
      </c>
      <c r="N178" s="483">
        <f t="shared" si="44"/>
        <v>0</v>
      </c>
      <c r="O178" s="394">
        <v>0</v>
      </c>
      <c r="P178" s="394">
        <v>0</v>
      </c>
      <c r="Q178" s="394">
        <v>0</v>
      </c>
      <c r="R178" s="435"/>
      <c r="S178" s="430">
        <f t="shared" si="45"/>
        <v>239</v>
      </c>
      <c r="U178" s="8"/>
    </row>
    <row r="179" spans="2:21" ht="25.5" customHeight="1" thickBot="1">
      <c r="B179" s="77" t="s">
        <v>92</v>
      </c>
      <c r="C179" s="361">
        <v>33</v>
      </c>
      <c r="D179" s="361">
        <v>53</v>
      </c>
      <c r="E179" s="361">
        <v>54</v>
      </c>
      <c r="F179" s="361">
        <v>55</v>
      </c>
      <c r="G179" s="361">
        <v>47</v>
      </c>
      <c r="H179" s="361">
        <v>44</v>
      </c>
      <c r="I179" s="426">
        <f t="shared" si="46"/>
        <v>286</v>
      </c>
      <c r="J179" s="433">
        <v>0</v>
      </c>
      <c r="K179" s="394">
        <v>0</v>
      </c>
      <c r="L179" s="394">
        <v>0</v>
      </c>
      <c r="M179" s="394">
        <v>0</v>
      </c>
      <c r="N179" s="483">
        <f t="shared" si="44"/>
        <v>0</v>
      </c>
      <c r="O179" s="394">
        <v>0</v>
      </c>
      <c r="P179" s="394">
        <v>0</v>
      </c>
      <c r="Q179" s="394">
        <v>0</v>
      </c>
      <c r="R179" s="435"/>
      <c r="S179" s="430">
        <f t="shared" si="45"/>
        <v>286</v>
      </c>
      <c r="U179" s="8"/>
    </row>
    <row r="180" spans="2:21" ht="20.25" customHeight="1" thickBot="1">
      <c r="B180" s="77" t="s">
        <v>93</v>
      </c>
      <c r="C180" s="361">
        <v>65</v>
      </c>
      <c r="D180" s="361">
        <v>94</v>
      </c>
      <c r="E180" s="361">
        <v>123</v>
      </c>
      <c r="F180" s="361">
        <v>116</v>
      </c>
      <c r="G180" s="361">
        <v>122</v>
      </c>
      <c r="H180" s="361">
        <v>103</v>
      </c>
      <c r="I180" s="426">
        <f t="shared" si="46"/>
        <v>623</v>
      </c>
      <c r="J180" s="433">
        <v>0</v>
      </c>
      <c r="K180" s="394">
        <v>0</v>
      </c>
      <c r="L180" s="394">
        <v>0</v>
      </c>
      <c r="M180" s="394">
        <v>0</v>
      </c>
      <c r="N180" s="483">
        <f t="shared" si="44"/>
        <v>0</v>
      </c>
      <c r="O180" s="394">
        <v>0</v>
      </c>
      <c r="P180" s="394">
        <v>0</v>
      </c>
      <c r="Q180" s="394">
        <v>0</v>
      </c>
      <c r="R180" s="435"/>
      <c r="S180" s="430">
        <f t="shared" si="45"/>
        <v>623</v>
      </c>
      <c r="U180" s="8"/>
    </row>
    <row r="181" spans="2:21" ht="29.25" customHeight="1" thickBot="1">
      <c r="B181" s="77" t="s">
        <v>94</v>
      </c>
      <c r="C181" s="361">
        <v>67</v>
      </c>
      <c r="D181" s="361">
        <v>74</v>
      </c>
      <c r="E181" s="361">
        <v>77</v>
      </c>
      <c r="F181" s="361">
        <v>79</v>
      </c>
      <c r="G181" s="361">
        <v>86</v>
      </c>
      <c r="H181" s="361">
        <v>64</v>
      </c>
      <c r="I181" s="426">
        <f t="shared" si="46"/>
        <v>447</v>
      </c>
      <c r="J181" s="433">
        <v>0</v>
      </c>
      <c r="K181" s="394">
        <v>0</v>
      </c>
      <c r="L181" s="394">
        <v>0</v>
      </c>
      <c r="M181" s="394">
        <v>0</v>
      </c>
      <c r="N181" s="483">
        <f t="shared" si="44"/>
        <v>0</v>
      </c>
      <c r="O181" s="394">
        <v>0</v>
      </c>
      <c r="P181" s="394">
        <v>0</v>
      </c>
      <c r="Q181" s="394">
        <v>0</v>
      </c>
      <c r="R181" s="435"/>
      <c r="S181" s="430">
        <f t="shared" si="45"/>
        <v>447</v>
      </c>
      <c r="U181" s="8"/>
    </row>
    <row r="182" spans="2:21" ht="27" customHeight="1" thickBot="1">
      <c r="B182" s="186" t="s">
        <v>95</v>
      </c>
      <c r="C182" s="19">
        <v>55</v>
      </c>
      <c r="D182" s="19">
        <v>68</v>
      </c>
      <c r="E182" s="19">
        <v>71</v>
      </c>
      <c r="F182" s="19">
        <v>83</v>
      </c>
      <c r="G182" s="19">
        <v>55</v>
      </c>
      <c r="H182" s="19">
        <v>67</v>
      </c>
      <c r="I182" s="426">
        <f t="shared" si="46"/>
        <v>399</v>
      </c>
      <c r="J182" s="433">
        <v>0</v>
      </c>
      <c r="K182" s="394">
        <v>0</v>
      </c>
      <c r="L182" s="394">
        <v>0</v>
      </c>
      <c r="M182" s="394">
        <v>0</v>
      </c>
      <c r="N182" s="483">
        <f t="shared" si="44"/>
        <v>0</v>
      </c>
      <c r="O182" s="394">
        <v>0</v>
      </c>
      <c r="P182" s="394">
        <v>0</v>
      </c>
      <c r="Q182" s="394">
        <v>0</v>
      </c>
      <c r="R182" s="435"/>
      <c r="S182" s="430">
        <f t="shared" si="45"/>
        <v>399</v>
      </c>
      <c r="U182" s="8"/>
    </row>
    <row r="183" spans="2:21" ht="22.5" customHeight="1" thickBot="1">
      <c r="B183" s="77" t="s">
        <v>204</v>
      </c>
      <c r="C183" s="361">
        <v>32</v>
      </c>
      <c r="D183" s="361">
        <v>65</v>
      </c>
      <c r="E183" s="361">
        <v>53</v>
      </c>
      <c r="F183" s="361">
        <v>51</v>
      </c>
      <c r="G183" s="361">
        <v>60</v>
      </c>
      <c r="H183" s="361">
        <v>60</v>
      </c>
      <c r="I183" s="426">
        <f t="shared" si="46"/>
        <v>321</v>
      </c>
      <c r="J183" s="433">
        <v>0</v>
      </c>
      <c r="K183" s="394">
        <v>0</v>
      </c>
      <c r="L183" s="394">
        <v>0</v>
      </c>
      <c r="M183" s="394">
        <v>0</v>
      </c>
      <c r="N183" s="483">
        <f t="shared" si="44"/>
        <v>0</v>
      </c>
      <c r="O183" s="394">
        <v>0</v>
      </c>
      <c r="P183" s="394">
        <v>0</v>
      </c>
      <c r="Q183" s="394">
        <v>0</v>
      </c>
      <c r="R183" s="435"/>
      <c r="S183" s="430">
        <f t="shared" si="45"/>
        <v>321</v>
      </c>
      <c r="U183" s="8"/>
    </row>
    <row r="184" spans="2:21" ht="24.75" customHeight="1" thickBot="1">
      <c r="B184" s="77" t="s">
        <v>96</v>
      </c>
      <c r="C184" s="361">
        <v>59</v>
      </c>
      <c r="D184" s="361">
        <v>55</v>
      </c>
      <c r="E184" s="361">
        <v>94</v>
      </c>
      <c r="F184" s="361">
        <v>72</v>
      </c>
      <c r="G184" s="361">
        <v>70</v>
      </c>
      <c r="H184" s="361">
        <v>65</v>
      </c>
      <c r="I184" s="426">
        <f t="shared" si="46"/>
        <v>415</v>
      </c>
      <c r="J184" s="433">
        <v>0</v>
      </c>
      <c r="K184" s="394">
        <v>0</v>
      </c>
      <c r="L184" s="394">
        <v>0</v>
      </c>
      <c r="M184" s="394">
        <v>0</v>
      </c>
      <c r="N184" s="483">
        <f t="shared" si="44"/>
        <v>0</v>
      </c>
      <c r="O184" s="394">
        <v>0</v>
      </c>
      <c r="P184" s="394">
        <v>0</v>
      </c>
      <c r="Q184" s="394">
        <v>0</v>
      </c>
      <c r="R184" s="435"/>
      <c r="S184" s="430">
        <f t="shared" si="45"/>
        <v>415</v>
      </c>
      <c r="U184" s="8"/>
    </row>
    <row r="185" spans="2:21" ht="24" customHeight="1" thickBot="1">
      <c r="B185" s="77" t="s">
        <v>52</v>
      </c>
      <c r="C185" s="361">
        <v>52</v>
      </c>
      <c r="D185" s="361">
        <v>55</v>
      </c>
      <c r="E185" s="361">
        <v>69</v>
      </c>
      <c r="F185" s="361">
        <v>88</v>
      </c>
      <c r="G185" s="361">
        <v>74</v>
      </c>
      <c r="H185" s="361">
        <v>69</v>
      </c>
      <c r="I185" s="426">
        <f t="shared" si="46"/>
        <v>407</v>
      </c>
      <c r="J185" s="433">
        <v>0</v>
      </c>
      <c r="K185" s="394">
        <v>0</v>
      </c>
      <c r="L185" s="394">
        <v>0</v>
      </c>
      <c r="M185" s="394">
        <v>0</v>
      </c>
      <c r="N185" s="483">
        <f t="shared" si="44"/>
        <v>0</v>
      </c>
      <c r="O185" s="394">
        <v>0</v>
      </c>
      <c r="P185" s="394">
        <v>0</v>
      </c>
      <c r="Q185" s="394">
        <v>0</v>
      </c>
      <c r="R185" s="435"/>
      <c r="S185" s="430">
        <f t="shared" si="45"/>
        <v>407</v>
      </c>
      <c r="U185" s="8"/>
    </row>
    <row r="186" spans="2:21" ht="22.5" customHeight="1" thickBot="1">
      <c r="B186" s="77" t="s">
        <v>97</v>
      </c>
      <c r="C186" s="361">
        <v>68</v>
      </c>
      <c r="D186" s="361">
        <v>64</v>
      </c>
      <c r="E186" s="361">
        <v>106</v>
      </c>
      <c r="F186" s="361">
        <v>97</v>
      </c>
      <c r="G186" s="361">
        <v>95</v>
      </c>
      <c r="H186" s="361">
        <v>82</v>
      </c>
      <c r="I186" s="426">
        <f t="shared" si="46"/>
        <v>512</v>
      </c>
      <c r="J186" s="433">
        <v>0</v>
      </c>
      <c r="K186" s="394">
        <v>0</v>
      </c>
      <c r="L186" s="394">
        <v>0</v>
      </c>
      <c r="M186" s="394">
        <v>0</v>
      </c>
      <c r="N186" s="483">
        <f t="shared" si="44"/>
        <v>0</v>
      </c>
      <c r="O186" s="394">
        <v>0</v>
      </c>
      <c r="P186" s="394">
        <v>0</v>
      </c>
      <c r="Q186" s="394">
        <v>0</v>
      </c>
      <c r="R186" s="435"/>
      <c r="S186" s="430">
        <f t="shared" si="45"/>
        <v>512</v>
      </c>
      <c r="U186" s="8"/>
    </row>
    <row r="187" spans="2:21" ht="26.25" customHeight="1" thickBot="1">
      <c r="B187" s="77" t="s">
        <v>98</v>
      </c>
      <c r="C187" s="361">
        <v>81</v>
      </c>
      <c r="D187" s="361">
        <v>84</v>
      </c>
      <c r="E187" s="361">
        <v>80</v>
      </c>
      <c r="F187" s="361">
        <v>105</v>
      </c>
      <c r="G187" s="361">
        <v>88</v>
      </c>
      <c r="H187" s="361">
        <v>88</v>
      </c>
      <c r="I187" s="426">
        <f t="shared" si="46"/>
        <v>526</v>
      </c>
      <c r="J187" s="433">
        <v>0</v>
      </c>
      <c r="K187" s="394">
        <v>0</v>
      </c>
      <c r="L187" s="394">
        <v>0</v>
      </c>
      <c r="M187" s="394">
        <v>0</v>
      </c>
      <c r="N187" s="483">
        <f t="shared" si="44"/>
        <v>0</v>
      </c>
      <c r="O187" s="394">
        <v>0</v>
      </c>
      <c r="P187" s="394">
        <v>0</v>
      </c>
      <c r="Q187" s="394">
        <v>0</v>
      </c>
      <c r="R187" s="435"/>
      <c r="S187" s="430">
        <f t="shared" si="45"/>
        <v>526</v>
      </c>
      <c r="U187" s="8"/>
    </row>
    <row r="188" spans="2:21" ht="21" customHeight="1" thickBot="1">
      <c r="B188" s="77" t="s">
        <v>99</v>
      </c>
      <c r="C188" s="361">
        <v>53</v>
      </c>
      <c r="D188" s="361">
        <v>70</v>
      </c>
      <c r="E188" s="361">
        <v>85</v>
      </c>
      <c r="F188" s="361">
        <v>56</v>
      </c>
      <c r="G188" s="361">
        <v>65</v>
      </c>
      <c r="H188" s="361">
        <v>52</v>
      </c>
      <c r="I188" s="426">
        <f t="shared" si="46"/>
        <v>381</v>
      </c>
      <c r="J188" s="433">
        <v>0</v>
      </c>
      <c r="K188" s="394">
        <v>0</v>
      </c>
      <c r="L188" s="394">
        <v>0</v>
      </c>
      <c r="M188" s="394">
        <v>0</v>
      </c>
      <c r="N188" s="483">
        <f t="shared" si="44"/>
        <v>0</v>
      </c>
      <c r="O188" s="394">
        <v>0</v>
      </c>
      <c r="P188" s="394">
        <v>0</v>
      </c>
      <c r="Q188" s="394">
        <v>0</v>
      </c>
      <c r="R188" s="435"/>
      <c r="S188" s="430">
        <f t="shared" si="45"/>
        <v>381</v>
      </c>
      <c r="U188" s="8"/>
    </row>
    <row r="189" spans="2:21" ht="27.75" customHeight="1" thickBot="1">
      <c r="B189" s="77" t="s">
        <v>205</v>
      </c>
      <c r="C189" s="361">
        <v>23</v>
      </c>
      <c r="D189" s="361">
        <v>49</v>
      </c>
      <c r="E189" s="361">
        <v>62</v>
      </c>
      <c r="F189" s="361">
        <v>45</v>
      </c>
      <c r="G189" s="361">
        <v>50</v>
      </c>
      <c r="H189" s="361">
        <v>53</v>
      </c>
      <c r="I189" s="426">
        <f t="shared" si="46"/>
        <v>282</v>
      </c>
      <c r="J189" s="433">
        <v>0</v>
      </c>
      <c r="K189" s="394">
        <v>0</v>
      </c>
      <c r="L189" s="394">
        <v>0</v>
      </c>
      <c r="M189" s="394">
        <v>0</v>
      </c>
      <c r="N189" s="483">
        <f t="shared" si="44"/>
        <v>0</v>
      </c>
      <c r="O189" s="394">
        <v>0</v>
      </c>
      <c r="P189" s="394">
        <v>0</v>
      </c>
      <c r="Q189" s="394">
        <v>0</v>
      </c>
      <c r="R189" s="435"/>
      <c r="S189" s="430">
        <f t="shared" si="45"/>
        <v>282</v>
      </c>
      <c r="U189" s="8"/>
    </row>
    <row r="190" spans="2:21" ht="22.5" customHeight="1" thickBot="1">
      <c r="B190" s="77" t="s">
        <v>206</v>
      </c>
      <c r="C190" s="361">
        <v>7</v>
      </c>
      <c r="D190" s="361">
        <v>8</v>
      </c>
      <c r="E190" s="361">
        <v>11</v>
      </c>
      <c r="F190" s="361">
        <v>6</v>
      </c>
      <c r="G190" s="361">
        <v>16</v>
      </c>
      <c r="H190" s="361">
        <v>0</v>
      </c>
      <c r="I190" s="426">
        <f t="shared" si="46"/>
        <v>48</v>
      </c>
      <c r="J190" s="433"/>
      <c r="K190" s="394"/>
      <c r="L190" s="394"/>
      <c r="M190" s="394"/>
      <c r="N190" s="483"/>
      <c r="O190" s="394"/>
      <c r="P190" s="394"/>
      <c r="Q190" s="394"/>
      <c r="R190" s="435"/>
      <c r="S190" s="430">
        <f t="shared" si="45"/>
        <v>48</v>
      </c>
      <c r="U190" s="8"/>
    </row>
    <row r="191" spans="2:21" ht="24.75" customHeight="1" thickBot="1">
      <c r="B191" s="128" t="s">
        <v>207</v>
      </c>
      <c r="C191" s="361">
        <v>13</v>
      </c>
      <c r="D191" s="361">
        <v>12</v>
      </c>
      <c r="E191" s="361">
        <v>22</v>
      </c>
      <c r="F191" s="361">
        <v>20</v>
      </c>
      <c r="G191" s="361">
        <v>22</v>
      </c>
      <c r="H191" s="361">
        <v>20</v>
      </c>
      <c r="I191" s="426">
        <f t="shared" si="46"/>
        <v>109</v>
      </c>
      <c r="J191" s="433">
        <v>0</v>
      </c>
      <c r="K191" s="394">
        <v>0</v>
      </c>
      <c r="L191" s="394">
        <v>0</v>
      </c>
      <c r="M191" s="394">
        <v>0</v>
      </c>
      <c r="N191" s="483">
        <f t="shared" si="44"/>
        <v>0</v>
      </c>
      <c r="O191" s="394">
        <v>0</v>
      </c>
      <c r="P191" s="394">
        <v>0</v>
      </c>
      <c r="Q191" s="394">
        <v>0</v>
      </c>
      <c r="R191" s="435"/>
      <c r="S191" s="430">
        <f t="shared" si="45"/>
        <v>109</v>
      </c>
      <c r="U191" s="8"/>
    </row>
    <row r="192" spans="2:21" ht="23.25" customHeight="1">
      <c r="B192" s="77" t="s">
        <v>208</v>
      </c>
      <c r="C192" s="361">
        <v>0</v>
      </c>
      <c r="D192" s="361">
        <v>9</v>
      </c>
      <c r="E192" s="361">
        <v>7</v>
      </c>
      <c r="F192" s="361">
        <v>12</v>
      </c>
      <c r="G192" s="361">
        <v>8</v>
      </c>
      <c r="H192" s="362">
        <v>10</v>
      </c>
      <c r="I192" s="367">
        <f t="shared" si="46"/>
        <v>46</v>
      </c>
      <c r="J192" s="394">
        <v>0</v>
      </c>
      <c r="K192" s="394">
        <v>0</v>
      </c>
      <c r="L192" s="394">
        <v>0</v>
      </c>
      <c r="M192" s="394">
        <v>0</v>
      </c>
      <c r="N192" s="483">
        <f t="shared" si="44"/>
        <v>0</v>
      </c>
      <c r="O192" s="394">
        <v>0</v>
      </c>
      <c r="P192" s="394">
        <v>0</v>
      </c>
      <c r="Q192" s="394">
        <v>0</v>
      </c>
      <c r="R192" s="435"/>
      <c r="S192" s="430">
        <f t="shared" si="45"/>
        <v>46</v>
      </c>
      <c r="U192" s="8"/>
    </row>
    <row r="193" spans="2:21" s="32" customFormat="1" ht="21" customHeight="1">
      <c r="B193" s="77" t="s">
        <v>100</v>
      </c>
      <c r="C193" s="361">
        <v>0</v>
      </c>
      <c r="D193" s="361">
        <v>4</v>
      </c>
      <c r="E193" s="361">
        <v>4</v>
      </c>
      <c r="F193" s="361">
        <v>8</v>
      </c>
      <c r="G193" s="361">
        <v>6</v>
      </c>
      <c r="H193" s="362">
        <v>7</v>
      </c>
      <c r="I193" s="387">
        <f>H193+G193+F193+E193+D193+C193</f>
        <v>29</v>
      </c>
      <c r="J193" s="394"/>
      <c r="K193" s="394"/>
      <c r="L193" s="394"/>
      <c r="M193" s="394"/>
      <c r="N193" s="483"/>
      <c r="O193" s="394"/>
      <c r="P193" s="394"/>
      <c r="Q193" s="394"/>
      <c r="R193" s="435"/>
      <c r="S193" s="430">
        <f t="shared" si="45"/>
        <v>29</v>
      </c>
      <c r="U193" s="8"/>
    </row>
    <row r="194" spans="2:21" ht="26.25" customHeight="1">
      <c r="B194" s="170" t="s">
        <v>245</v>
      </c>
      <c r="C194" s="361">
        <v>0</v>
      </c>
      <c r="D194" s="361">
        <v>0</v>
      </c>
      <c r="E194" s="361">
        <v>0</v>
      </c>
      <c r="F194" s="361">
        <v>0</v>
      </c>
      <c r="G194" s="361">
        <v>0</v>
      </c>
      <c r="H194" s="362">
        <v>0</v>
      </c>
      <c r="I194" s="1">
        <f>H194+G194+F194+E194+D194+C194</f>
        <v>0</v>
      </c>
      <c r="J194" s="394">
        <v>0</v>
      </c>
      <c r="K194" s="394">
        <v>0</v>
      </c>
      <c r="L194" s="394" t="s">
        <v>254</v>
      </c>
      <c r="M194" s="394">
        <v>0</v>
      </c>
      <c r="N194" s="483">
        <f t="shared" si="44"/>
        <v>0</v>
      </c>
      <c r="O194" s="394">
        <v>0</v>
      </c>
      <c r="P194" s="394">
        <v>0</v>
      </c>
      <c r="Q194" s="394">
        <v>0</v>
      </c>
      <c r="R194" s="435"/>
      <c r="S194" s="430">
        <f t="shared" si="45"/>
        <v>0</v>
      </c>
      <c r="U194" s="8"/>
    </row>
    <row r="195" spans="2:21" s="32" customFormat="1" ht="22.5" customHeight="1" thickBot="1">
      <c r="B195" s="95" t="s">
        <v>246</v>
      </c>
      <c r="C195" s="365">
        <v>0</v>
      </c>
      <c r="D195" s="365">
        <v>4</v>
      </c>
      <c r="E195" s="365">
        <v>2</v>
      </c>
      <c r="F195" s="365">
        <v>4</v>
      </c>
      <c r="G195" s="365">
        <v>6</v>
      </c>
      <c r="H195" s="366">
        <v>0</v>
      </c>
      <c r="I195" s="397">
        <f>H195+G195+F195+E195+D195+C195</f>
        <v>16</v>
      </c>
      <c r="J195" s="394"/>
      <c r="K195" s="394"/>
      <c r="L195" s="394"/>
      <c r="M195" s="394"/>
      <c r="N195" s="484"/>
      <c r="O195" s="394"/>
      <c r="P195" s="394"/>
      <c r="Q195" s="394"/>
      <c r="R195" s="435"/>
      <c r="S195" s="430">
        <f t="shared" si="45"/>
        <v>16</v>
      </c>
      <c r="U195" s="33"/>
    </row>
    <row r="196" spans="2:21" ht="27" customHeight="1" thickBot="1">
      <c r="B196" s="171" t="s">
        <v>101</v>
      </c>
      <c r="C196" s="948">
        <v>0</v>
      </c>
      <c r="D196" s="949"/>
      <c r="E196" s="949"/>
      <c r="F196" s="949"/>
      <c r="G196" s="949"/>
      <c r="H196" s="949"/>
      <c r="I196" s="950"/>
      <c r="J196" s="485">
        <v>316</v>
      </c>
      <c r="K196" s="486">
        <v>211</v>
      </c>
      <c r="L196" s="486">
        <v>174</v>
      </c>
      <c r="M196" s="487">
        <v>203</v>
      </c>
      <c r="N196" s="488">
        <f>SUM(J196:M196)</f>
        <v>904</v>
      </c>
      <c r="O196" s="394">
        <v>0</v>
      </c>
      <c r="P196" s="394">
        <v>0</v>
      </c>
      <c r="Q196" s="394">
        <v>0</v>
      </c>
      <c r="R196" s="435"/>
      <c r="S196" s="430">
        <f t="shared" si="45"/>
        <v>904</v>
      </c>
    </row>
    <row r="197" spans="2:21" ht="22.5" customHeight="1" thickBot="1">
      <c r="B197" s="173" t="s">
        <v>103</v>
      </c>
      <c r="C197" s="951"/>
      <c r="D197" s="952"/>
      <c r="E197" s="952"/>
      <c r="F197" s="952"/>
      <c r="G197" s="952"/>
      <c r="H197" s="952"/>
      <c r="I197" s="953"/>
      <c r="J197" s="489">
        <v>413</v>
      </c>
      <c r="K197" s="490">
        <v>221</v>
      </c>
      <c r="L197" s="490">
        <v>257</v>
      </c>
      <c r="M197" s="491">
        <v>214</v>
      </c>
      <c r="N197" s="488">
        <f>SUM(J197:M197)</f>
        <v>1105</v>
      </c>
      <c r="O197" s="394">
        <v>0</v>
      </c>
      <c r="P197" s="394">
        <v>0</v>
      </c>
      <c r="Q197" s="394">
        <v>0</v>
      </c>
      <c r="R197" s="435"/>
      <c r="S197" s="430">
        <f t="shared" si="45"/>
        <v>1105</v>
      </c>
    </row>
    <row r="198" spans="2:21" ht="24" customHeight="1" thickBot="1">
      <c r="B198" s="173" t="s">
        <v>209</v>
      </c>
      <c r="C198" s="951"/>
      <c r="D198" s="952"/>
      <c r="E198" s="952"/>
      <c r="F198" s="952"/>
      <c r="G198" s="952"/>
      <c r="H198" s="952"/>
      <c r="I198" s="953"/>
      <c r="J198" s="489">
        <v>345</v>
      </c>
      <c r="K198" s="490">
        <v>220</v>
      </c>
      <c r="L198" s="490">
        <v>172</v>
      </c>
      <c r="M198" s="491">
        <v>163</v>
      </c>
      <c r="N198" s="488">
        <f>SUM(J198:M198)</f>
        <v>900</v>
      </c>
      <c r="O198" s="394">
        <v>0</v>
      </c>
      <c r="P198" s="394">
        <v>0</v>
      </c>
      <c r="Q198" s="394">
        <v>0</v>
      </c>
      <c r="R198" s="435"/>
      <c r="S198" s="430">
        <f t="shared" si="45"/>
        <v>900</v>
      </c>
    </row>
    <row r="199" spans="2:21" s="37" customFormat="1" ht="24" customHeight="1" thickBot="1">
      <c r="B199" s="173" t="s">
        <v>287</v>
      </c>
      <c r="C199" s="951"/>
      <c r="D199" s="952"/>
      <c r="E199" s="952"/>
      <c r="F199" s="952"/>
      <c r="G199" s="952"/>
      <c r="H199" s="952"/>
      <c r="I199" s="953"/>
      <c r="J199" s="489">
        <v>261</v>
      </c>
      <c r="K199" s="490">
        <v>136</v>
      </c>
      <c r="L199" s="490">
        <v>111</v>
      </c>
      <c r="M199" s="491">
        <v>121</v>
      </c>
      <c r="N199" s="488">
        <f>SUM(J199:M199)</f>
        <v>629</v>
      </c>
      <c r="O199" s="394"/>
      <c r="P199" s="394"/>
      <c r="Q199" s="394"/>
      <c r="R199" s="435"/>
      <c r="S199" s="430">
        <f t="shared" si="45"/>
        <v>629</v>
      </c>
    </row>
    <row r="200" spans="2:21" ht="28.5" customHeight="1" thickBot="1">
      <c r="B200" s="173" t="s">
        <v>102</v>
      </c>
      <c r="C200" s="951"/>
      <c r="D200" s="952"/>
      <c r="E200" s="952"/>
      <c r="F200" s="952"/>
      <c r="G200" s="952"/>
      <c r="H200" s="952"/>
      <c r="I200" s="953"/>
      <c r="J200" s="489">
        <v>233</v>
      </c>
      <c r="K200" s="490">
        <v>151</v>
      </c>
      <c r="L200" s="490">
        <v>140</v>
      </c>
      <c r="M200" s="491">
        <v>144</v>
      </c>
      <c r="N200" s="488">
        <f>SUM(J200:M200)</f>
        <v>668</v>
      </c>
      <c r="O200" s="492">
        <v>0</v>
      </c>
      <c r="P200" s="492">
        <v>0</v>
      </c>
      <c r="Q200" s="492">
        <v>0</v>
      </c>
      <c r="R200" s="493"/>
      <c r="S200" s="430">
        <f t="shared" si="45"/>
        <v>668</v>
      </c>
    </row>
    <row r="201" spans="2:21" ht="28.5" customHeight="1">
      <c r="B201" s="174" t="s">
        <v>104</v>
      </c>
      <c r="C201" s="951"/>
      <c r="D201" s="952"/>
      <c r="E201" s="952"/>
      <c r="F201" s="952"/>
      <c r="G201" s="952"/>
      <c r="H201" s="952"/>
      <c r="I201" s="953"/>
      <c r="J201" s="494"/>
      <c r="K201" s="495"/>
      <c r="L201" s="495"/>
      <c r="M201" s="496"/>
      <c r="N201" s="497"/>
      <c r="O201" s="498">
        <v>241</v>
      </c>
      <c r="P201" s="498">
        <v>147</v>
      </c>
      <c r="Q201" s="498">
        <v>123</v>
      </c>
      <c r="R201" s="499">
        <f t="shared" ref="R201:R203" si="47">SUM(O201:Q201)</f>
        <v>511</v>
      </c>
      <c r="S201" s="430">
        <f t="shared" si="45"/>
        <v>511</v>
      </c>
    </row>
    <row r="202" spans="2:21" ht="28.5" customHeight="1">
      <c r="B202" s="174" t="s">
        <v>105</v>
      </c>
      <c r="C202" s="951"/>
      <c r="D202" s="952"/>
      <c r="E202" s="952"/>
      <c r="F202" s="952"/>
      <c r="G202" s="952"/>
      <c r="H202" s="952"/>
      <c r="I202" s="953"/>
      <c r="J202" s="500"/>
      <c r="K202" s="455"/>
      <c r="L202" s="455"/>
      <c r="M202" s="501"/>
      <c r="N202" s="502"/>
      <c r="O202" s="498">
        <v>136</v>
      </c>
      <c r="P202" s="498">
        <v>105</v>
      </c>
      <c r="Q202" s="498">
        <v>139</v>
      </c>
      <c r="R202" s="499">
        <f t="shared" si="47"/>
        <v>380</v>
      </c>
      <c r="S202" s="430">
        <f t="shared" si="45"/>
        <v>380</v>
      </c>
    </row>
    <row r="203" spans="2:21" ht="25.5" customHeight="1" thickBot="1">
      <c r="B203" s="174" t="s">
        <v>106</v>
      </c>
      <c r="C203" s="954"/>
      <c r="D203" s="955"/>
      <c r="E203" s="955"/>
      <c r="F203" s="955"/>
      <c r="G203" s="955"/>
      <c r="H203" s="955"/>
      <c r="I203" s="956"/>
      <c r="J203" s="503"/>
      <c r="K203" s="504"/>
      <c r="L203" s="504"/>
      <c r="M203" s="501"/>
      <c r="N203" s="505"/>
      <c r="O203" s="498">
        <v>200</v>
      </c>
      <c r="P203" s="498">
        <v>174</v>
      </c>
      <c r="Q203" s="498">
        <v>193</v>
      </c>
      <c r="R203" s="499">
        <f t="shared" si="47"/>
        <v>567</v>
      </c>
      <c r="S203" s="430">
        <f t="shared" si="45"/>
        <v>567</v>
      </c>
    </row>
    <row r="204" spans="2:21" ht="29.25" customHeight="1" thickBot="1">
      <c r="B204" s="135" t="s">
        <v>23</v>
      </c>
      <c r="C204" s="506">
        <f>C175+C176+C177+C178+C179+C180+C181+C182+C183+C184+C185+C186+C187+C188+C189+C190+C191+C192+C193+C194+C195</f>
        <v>844</v>
      </c>
      <c r="D204" s="506">
        <f t="shared" ref="D204:H204" si="48">D175+D176+D177+D178+D179+D180+D181+D182+D183+D184+D185+D186+D187+D188+D189+D190+D191+D192+D193+D194+D195</f>
        <v>1077</v>
      </c>
      <c r="E204" s="506">
        <f t="shared" si="48"/>
        <v>1249</v>
      </c>
      <c r="F204" s="506">
        <f t="shared" si="48"/>
        <v>1271</v>
      </c>
      <c r="G204" s="506">
        <f t="shared" si="48"/>
        <v>1216</v>
      </c>
      <c r="H204" s="506">
        <f t="shared" si="48"/>
        <v>1095</v>
      </c>
      <c r="I204" s="507">
        <f>I175+I176+I177+I178+I179+I180+I181+I182+I183+I184+I185+I186+I187+I188+I189+I190+I191+I192+I193+I194+I195</f>
        <v>6752</v>
      </c>
      <c r="J204" s="508">
        <f>J196+J197+J198+J200</f>
        <v>1307</v>
      </c>
      <c r="K204" s="509">
        <f t="shared" ref="K204:M204" si="49">K196+K197+K198+K200</f>
        <v>803</v>
      </c>
      <c r="L204" s="510">
        <f t="shared" si="49"/>
        <v>743</v>
      </c>
      <c r="M204" s="511">
        <f t="shared" si="49"/>
        <v>724</v>
      </c>
      <c r="N204" s="512">
        <f>N196+N197+N198+N199+N200</f>
        <v>4206</v>
      </c>
      <c r="O204" s="513">
        <f>O201+O202+O203</f>
        <v>577</v>
      </c>
      <c r="P204" s="513">
        <f t="shared" ref="P204:R204" si="50">P201+P202+P203</f>
        <v>426</v>
      </c>
      <c r="Q204" s="513">
        <f t="shared" si="50"/>
        <v>455</v>
      </c>
      <c r="R204" s="513">
        <f t="shared" si="50"/>
        <v>1458</v>
      </c>
      <c r="S204" s="514">
        <f>R204+N204+I204</f>
        <v>12416</v>
      </c>
    </row>
    <row r="205" spans="2:21" s="37" customFormat="1" ht="29.25" customHeight="1">
      <c r="B205" s="175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7"/>
    </row>
    <row r="206" spans="2:21" ht="15.75">
      <c r="B206" s="863" t="s">
        <v>4</v>
      </c>
      <c r="C206" s="863"/>
      <c r="D206" s="863"/>
      <c r="E206" s="863"/>
      <c r="F206" s="863"/>
      <c r="G206" s="863"/>
      <c r="H206" s="863"/>
      <c r="I206" s="863"/>
      <c r="J206" s="863"/>
      <c r="K206" s="863"/>
      <c r="L206" s="863"/>
      <c r="M206" s="863"/>
      <c r="N206" s="863"/>
      <c r="O206" s="863"/>
      <c r="P206" s="863"/>
      <c r="Q206" s="863"/>
      <c r="R206" s="863"/>
      <c r="S206" s="863"/>
    </row>
    <row r="207" spans="2:21" ht="15.75">
      <c r="B207" s="863" t="s">
        <v>211</v>
      </c>
      <c r="C207" s="863"/>
      <c r="D207" s="863"/>
      <c r="E207" s="863"/>
      <c r="F207" s="863"/>
      <c r="G207" s="863"/>
      <c r="H207" s="863"/>
      <c r="I207" s="863"/>
      <c r="J207" s="863"/>
      <c r="K207" s="863"/>
      <c r="L207" s="863"/>
      <c r="M207" s="863"/>
      <c r="N207" s="863"/>
      <c r="O207" s="863"/>
      <c r="P207" s="863"/>
      <c r="Q207" s="863"/>
      <c r="R207" s="863"/>
      <c r="S207" s="863"/>
    </row>
    <row r="208" spans="2:21" ht="15.75">
      <c r="B208" s="863" t="s">
        <v>219</v>
      </c>
      <c r="C208" s="863"/>
      <c r="D208" s="863"/>
      <c r="E208" s="863"/>
      <c r="F208" s="863"/>
      <c r="G208" s="863"/>
      <c r="H208" s="863"/>
      <c r="I208" s="863"/>
      <c r="J208" s="863"/>
      <c r="K208" s="863"/>
      <c r="L208" s="863"/>
      <c r="M208" s="863"/>
      <c r="N208" s="863"/>
      <c r="O208" s="863"/>
      <c r="P208" s="863"/>
      <c r="Q208" s="863"/>
      <c r="R208" s="863"/>
      <c r="S208" s="863"/>
    </row>
    <row r="209" spans="2:21" ht="16.5" thickBot="1">
      <c r="B209" s="104" t="s">
        <v>5</v>
      </c>
      <c r="C209" s="105"/>
      <c r="D209" s="105"/>
      <c r="E209" s="105"/>
      <c r="F209" s="865" t="s">
        <v>295</v>
      </c>
      <c r="G209" s="865"/>
      <c r="H209" s="865"/>
      <c r="I209" s="865"/>
      <c r="J209" s="865"/>
      <c r="K209" s="865"/>
      <c r="L209" s="865"/>
      <c r="M209" s="865"/>
      <c r="N209" s="865"/>
      <c r="O209" s="865"/>
      <c r="P209" s="864"/>
      <c r="Q209" s="864"/>
      <c r="R209" s="864"/>
      <c r="S209" s="56"/>
    </row>
    <row r="210" spans="2:21">
      <c r="B210" s="902" t="s">
        <v>3</v>
      </c>
      <c r="C210" s="869" t="s">
        <v>6</v>
      </c>
      <c r="D210" s="870"/>
      <c r="E210" s="870"/>
      <c r="F210" s="870"/>
      <c r="G210" s="870"/>
      <c r="H210" s="870"/>
      <c r="I210" s="871"/>
      <c r="J210" s="875" t="s">
        <v>7</v>
      </c>
      <c r="K210" s="876"/>
      <c r="L210" s="876"/>
      <c r="M210" s="876"/>
      <c r="N210" s="877"/>
      <c r="O210" s="881" t="s">
        <v>8</v>
      </c>
      <c r="P210" s="882"/>
      <c r="Q210" s="882"/>
      <c r="R210" s="883"/>
      <c r="S210" s="905" t="s">
        <v>0</v>
      </c>
    </row>
    <row r="211" spans="2:21" ht="15.75" thickBot="1">
      <c r="B211" s="903"/>
      <c r="C211" s="872"/>
      <c r="D211" s="873"/>
      <c r="E211" s="873"/>
      <c r="F211" s="873"/>
      <c r="G211" s="873"/>
      <c r="H211" s="873"/>
      <c r="I211" s="874"/>
      <c r="J211" s="878"/>
      <c r="K211" s="879"/>
      <c r="L211" s="879"/>
      <c r="M211" s="879"/>
      <c r="N211" s="880"/>
      <c r="O211" s="884"/>
      <c r="P211" s="885"/>
      <c r="Q211" s="885"/>
      <c r="R211" s="886"/>
      <c r="S211" s="891"/>
    </row>
    <row r="212" spans="2:21" ht="27" customHeight="1" thickBot="1">
      <c r="B212" s="904"/>
      <c r="C212" s="178" t="s">
        <v>10</v>
      </c>
      <c r="D212" s="179" t="s">
        <v>11</v>
      </c>
      <c r="E212" s="179" t="s">
        <v>12</v>
      </c>
      <c r="F212" s="179" t="s">
        <v>13</v>
      </c>
      <c r="G212" s="179" t="s">
        <v>14</v>
      </c>
      <c r="H212" s="180" t="s">
        <v>15</v>
      </c>
      <c r="I212" s="181" t="s">
        <v>16</v>
      </c>
      <c r="J212" s="164" t="s">
        <v>11</v>
      </c>
      <c r="K212" s="165" t="s">
        <v>12</v>
      </c>
      <c r="L212" s="165" t="s">
        <v>13</v>
      </c>
      <c r="M212" s="166" t="s">
        <v>14</v>
      </c>
      <c r="N212" s="167" t="s">
        <v>16</v>
      </c>
      <c r="O212" s="164" t="s">
        <v>11</v>
      </c>
      <c r="P212" s="166" t="s">
        <v>12</v>
      </c>
      <c r="Q212" s="165" t="s">
        <v>13</v>
      </c>
      <c r="R212" s="182" t="s">
        <v>16</v>
      </c>
      <c r="S212" s="891"/>
      <c r="U212" s="14" t="s">
        <v>220</v>
      </c>
    </row>
    <row r="213" spans="2:21" ht="29.25" customHeight="1" thickBot="1">
      <c r="B213" s="183" t="s">
        <v>107</v>
      </c>
      <c r="C213" s="376">
        <v>28</v>
      </c>
      <c r="D213" s="377">
        <v>26</v>
      </c>
      <c r="E213" s="377">
        <v>28</v>
      </c>
      <c r="F213" s="377">
        <v>27</v>
      </c>
      <c r="G213" s="377">
        <v>30</v>
      </c>
      <c r="H213" s="563">
        <v>48</v>
      </c>
      <c r="I213" s="363">
        <f t="shared" ref="I213:I225" si="51">SUM(C213:H213)</f>
        <v>187</v>
      </c>
      <c r="J213" s="427">
        <v>0</v>
      </c>
      <c r="K213" s="390">
        <v>0</v>
      </c>
      <c r="L213" s="390">
        <v>0</v>
      </c>
      <c r="M213" s="570">
        <v>0</v>
      </c>
      <c r="N213" s="674"/>
      <c r="O213" s="390">
        <v>0</v>
      </c>
      <c r="P213" s="390">
        <v>0</v>
      </c>
      <c r="Q213" s="390">
        <v>0</v>
      </c>
      <c r="R213" s="429"/>
      <c r="S213" s="707">
        <f t="shared" ref="S213:S227" si="52">R213+N213+I213</f>
        <v>187</v>
      </c>
      <c r="U213" s="8"/>
    </row>
    <row r="214" spans="2:21" ht="26.25" customHeight="1" thickBot="1">
      <c r="B214" s="186" t="s">
        <v>108</v>
      </c>
      <c r="C214" s="379">
        <v>50</v>
      </c>
      <c r="D214" s="380">
        <v>46</v>
      </c>
      <c r="E214" s="380">
        <v>82</v>
      </c>
      <c r="F214" s="380">
        <v>64</v>
      </c>
      <c r="G214" s="380">
        <v>54</v>
      </c>
      <c r="H214" s="438">
        <v>65</v>
      </c>
      <c r="I214" s="363">
        <f t="shared" si="51"/>
        <v>361</v>
      </c>
      <c r="J214" s="433">
        <v>0</v>
      </c>
      <c r="K214" s="394">
        <v>0</v>
      </c>
      <c r="L214" s="394">
        <v>0</v>
      </c>
      <c r="M214" s="573">
        <v>0</v>
      </c>
      <c r="N214" s="624"/>
      <c r="O214" s="394">
        <v>0</v>
      </c>
      <c r="P214" s="394">
        <v>0</v>
      </c>
      <c r="Q214" s="394">
        <v>0</v>
      </c>
      <c r="R214" s="435"/>
      <c r="S214" s="707">
        <f t="shared" si="52"/>
        <v>361</v>
      </c>
      <c r="U214" s="8"/>
    </row>
    <row r="215" spans="2:21" ht="27.75" customHeight="1" thickBot="1">
      <c r="B215" s="186" t="s">
        <v>281</v>
      </c>
      <c r="C215" s="379">
        <v>0</v>
      </c>
      <c r="D215" s="380">
        <v>10</v>
      </c>
      <c r="E215" s="380">
        <v>4</v>
      </c>
      <c r="F215" s="380">
        <v>7</v>
      </c>
      <c r="G215" s="380">
        <v>9</v>
      </c>
      <c r="H215" s="438">
        <v>10</v>
      </c>
      <c r="I215" s="363">
        <f t="shared" si="51"/>
        <v>40</v>
      </c>
      <c r="J215" s="433">
        <v>0</v>
      </c>
      <c r="K215" s="394">
        <v>0</v>
      </c>
      <c r="L215" s="394">
        <v>0</v>
      </c>
      <c r="M215" s="573">
        <v>0</v>
      </c>
      <c r="N215" s="624"/>
      <c r="O215" s="394">
        <v>0</v>
      </c>
      <c r="P215" s="394">
        <v>0</v>
      </c>
      <c r="Q215" s="394">
        <v>0</v>
      </c>
      <c r="R215" s="435"/>
      <c r="S215" s="707">
        <f t="shared" si="52"/>
        <v>40</v>
      </c>
      <c r="U215" s="8"/>
    </row>
    <row r="216" spans="2:21" ht="25.5" customHeight="1" thickBot="1">
      <c r="B216" s="186" t="s">
        <v>109</v>
      </c>
      <c r="C216" s="379">
        <v>0</v>
      </c>
      <c r="D216" s="380">
        <v>11</v>
      </c>
      <c r="E216" s="380">
        <v>20</v>
      </c>
      <c r="F216" s="380">
        <v>23</v>
      </c>
      <c r="G216" s="380">
        <v>17</v>
      </c>
      <c r="H216" s="438">
        <v>17</v>
      </c>
      <c r="I216" s="363">
        <f t="shared" si="51"/>
        <v>88</v>
      </c>
      <c r="J216" s="433">
        <v>0</v>
      </c>
      <c r="K216" s="443">
        <v>0</v>
      </c>
      <c r="L216" s="394">
        <v>0</v>
      </c>
      <c r="M216" s="573">
        <v>0</v>
      </c>
      <c r="N216" s="624"/>
      <c r="O216" s="394">
        <v>0</v>
      </c>
      <c r="P216" s="394">
        <v>0</v>
      </c>
      <c r="Q216" s="394">
        <v>0</v>
      </c>
      <c r="R216" s="435"/>
      <c r="S216" s="707">
        <f t="shared" si="52"/>
        <v>88</v>
      </c>
      <c r="U216" s="8"/>
    </row>
    <row r="217" spans="2:21" ht="25.5" customHeight="1" thickBot="1">
      <c r="B217" s="186" t="s">
        <v>277</v>
      </c>
      <c r="C217" s="379">
        <v>11</v>
      </c>
      <c r="D217" s="380">
        <v>25</v>
      </c>
      <c r="E217" s="380">
        <v>32</v>
      </c>
      <c r="F217" s="380">
        <v>32</v>
      </c>
      <c r="G217" s="380">
        <v>28</v>
      </c>
      <c r="H217" s="438">
        <v>21</v>
      </c>
      <c r="I217" s="363">
        <f t="shared" si="51"/>
        <v>149</v>
      </c>
      <c r="J217" s="433">
        <v>0</v>
      </c>
      <c r="K217" s="394">
        <v>0</v>
      </c>
      <c r="L217" s="394">
        <v>0</v>
      </c>
      <c r="M217" s="573">
        <v>0</v>
      </c>
      <c r="N217" s="624"/>
      <c r="O217" s="394">
        <v>0</v>
      </c>
      <c r="P217" s="394">
        <v>0</v>
      </c>
      <c r="Q217" s="394">
        <v>0</v>
      </c>
      <c r="R217" s="435"/>
      <c r="S217" s="707">
        <f t="shared" si="52"/>
        <v>149</v>
      </c>
      <c r="U217" s="8"/>
    </row>
    <row r="218" spans="2:21" ht="26.25" customHeight="1" thickBot="1">
      <c r="B218" s="186" t="s">
        <v>279</v>
      </c>
      <c r="C218" s="379">
        <v>0</v>
      </c>
      <c r="D218" s="380">
        <v>8</v>
      </c>
      <c r="E218" s="380">
        <v>5</v>
      </c>
      <c r="F218" s="380">
        <v>3</v>
      </c>
      <c r="G218" s="380">
        <v>11</v>
      </c>
      <c r="H218" s="438">
        <v>6</v>
      </c>
      <c r="I218" s="363">
        <f t="shared" si="51"/>
        <v>33</v>
      </c>
      <c r="J218" s="433">
        <v>0</v>
      </c>
      <c r="K218" s="394">
        <v>0</v>
      </c>
      <c r="L218" s="394">
        <v>0</v>
      </c>
      <c r="M218" s="573">
        <v>0</v>
      </c>
      <c r="N218" s="624"/>
      <c r="O218" s="394">
        <v>0</v>
      </c>
      <c r="P218" s="394">
        <v>0</v>
      </c>
      <c r="Q218" s="394">
        <v>0</v>
      </c>
      <c r="R218" s="435"/>
      <c r="S218" s="707">
        <f t="shared" si="52"/>
        <v>33</v>
      </c>
      <c r="U218" s="8"/>
    </row>
    <row r="219" spans="2:21" ht="27" customHeight="1" thickBot="1">
      <c r="B219" s="186" t="s">
        <v>110</v>
      </c>
      <c r="C219" s="675">
        <v>38</v>
      </c>
      <c r="D219" s="676">
        <v>30</v>
      </c>
      <c r="E219" s="676">
        <v>61</v>
      </c>
      <c r="F219" s="676">
        <v>54</v>
      </c>
      <c r="G219" s="676">
        <v>57</v>
      </c>
      <c r="H219" s="677">
        <v>55</v>
      </c>
      <c r="I219" s="678">
        <f t="shared" si="51"/>
        <v>295</v>
      </c>
      <c r="J219" s="433">
        <v>0</v>
      </c>
      <c r="K219" s="394">
        <v>0</v>
      </c>
      <c r="L219" s="394">
        <v>0</v>
      </c>
      <c r="M219" s="573">
        <v>0</v>
      </c>
      <c r="N219" s="624"/>
      <c r="O219" s="394">
        <v>0</v>
      </c>
      <c r="P219" s="394">
        <v>0</v>
      </c>
      <c r="Q219" s="394">
        <v>0</v>
      </c>
      <c r="R219" s="435"/>
      <c r="S219" s="707">
        <f t="shared" si="52"/>
        <v>295</v>
      </c>
      <c r="U219" s="8"/>
    </row>
    <row r="220" spans="2:21" ht="27.75" customHeight="1" thickBot="1">
      <c r="B220" s="186" t="s">
        <v>111</v>
      </c>
      <c r="C220" s="379">
        <v>8</v>
      </c>
      <c r="D220" s="380">
        <v>15</v>
      </c>
      <c r="E220" s="380">
        <v>28</v>
      </c>
      <c r="F220" s="380">
        <v>19</v>
      </c>
      <c r="G220" s="380">
        <v>16</v>
      </c>
      <c r="H220" s="438">
        <v>14</v>
      </c>
      <c r="I220" s="363">
        <f t="shared" si="51"/>
        <v>100</v>
      </c>
      <c r="J220" s="433">
        <v>0</v>
      </c>
      <c r="K220" s="394">
        <v>0</v>
      </c>
      <c r="L220" s="394">
        <v>0</v>
      </c>
      <c r="M220" s="573">
        <v>0</v>
      </c>
      <c r="N220" s="624"/>
      <c r="O220" s="394">
        <v>0</v>
      </c>
      <c r="P220" s="394">
        <v>0</v>
      </c>
      <c r="Q220" s="394">
        <v>0</v>
      </c>
      <c r="R220" s="435"/>
      <c r="S220" s="707">
        <f t="shared" si="52"/>
        <v>100</v>
      </c>
      <c r="U220" s="8"/>
    </row>
    <row r="221" spans="2:21" ht="27" customHeight="1" thickBot="1">
      <c r="B221" s="188" t="s">
        <v>112</v>
      </c>
      <c r="C221" s="379">
        <v>45</v>
      </c>
      <c r="D221" s="380">
        <v>40</v>
      </c>
      <c r="E221" s="380">
        <v>51</v>
      </c>
      <c r="F221" s="380">
        <v>33</v>
      </c>
      <c r="G221" s="380">
        <v>50</v>
      </c>
      <c r="H221" s="438">
        <v>42</v>
      </c>
      <c r="I221" s="363">
        <f t="shared" si="51"/>
        <v>261</v>
      </c>
      <c r="J221" s="433"/>
      <c r="K221" s="394"/>
      <c r="L221" s="394"/>
      <c r="M221" s="573"/>
      <c r="N221" s="624"/>
      <c r="O221" s="394"/>
      <c r="P221" s="394"/>
      <c r="Q221" s="394"/>
      <c r="R221" s="435"/>
      <c r="S221" s="707">
        <f t="shared" si="52"/>
        <v>261</v>
      </c>
      <c r="U221" s="8"/>
    </row>
    <row r="222" spans="2:21" ht="23.25" customHeight="1" thickBot="1">
      <c r="B222" s="188" t="s">
        <v>280</v>
      </c>
      <c r="C222" s="379">
        <v>0</v>
      </c>
      <c r="D222" s="380">
        <v>8</v>
      </c>
      <c r="E222" s="380">
        <v>10</v>
      </c>
      <c r="F222" s="380">
        <v>12</v>
      </c>
      <c r="G222" s="380">
        <v>11</v>
      </c>
      <c r="H222" s="438">
        <v>7</v>
      </c>
      <c r="I222" s="363">
        <f t="shared" si="51"/>
        <v>48</v>
      </c>
      <c r="J222" s="433"/>
      <c r="K222" s="394"/>
      <c r="L222" s="394"/>
      <c r="M222" s="573"/>
      <c r="N222" s="624"/>
      <c r="O222" s="394"/>
      <c r="P222" s="394"/>
      <c r="Q222" s="394"/>
      <c r="R222" s="435"/>
      <c r="S222" s="707">
        <f t="shared" si="52"/>
        <v>48</v>
      </c>
      <c r="U222" s="8"/>
    </row>
    <row r="223" spans="2:21" ht="26.25" customHeight="1">
      <c r="B223" s="189" t="s">
        <v>113</v>
      </c>
      <c r="C223" s="436">
        <v>0</v>
      </c>
      <c r="D223" s="436">
        <v>12</v>
      </c>
      <c r="E223" s="436">
        <v>12</v>
      </c>
      <c r="F223" s="679">
        <v>15</v>
      </c>
      <c r="G223" s="679">
        <v>10</v>
      </c>
      <c r="H223" s="680">
        <v>10</v>
      </c>
      <c r="I223" s="681">
        <f t="shared" si="51"/>
        <v>59</v>
      </c>
      <c r="J223" s="433">
        <v>0</v>
      </c>
      <c r="K223" s="394">
        <v>0</v>
      </c>
      <c r="L223" s="394">
        <v>0</v>
      </c>
      <c r="M223" s="573">
        <v>0</v>
      </c>
      <c r="N223" s="624"/>
      <c r="O223" s="394">
        <v>0</v>
      </c>
      <c r="P223" s="394">
        <v>0</v>
      </c>
      <c r="Q223" s="394">
        <v>0</v>
      </c>
      <c r="R223" s="435"/>
      <c r="S223" s="707">
        <f t="shared" si="52"/>
        <v>59</v>
      </c>
      <c r="U223" s="8"/>
    </row>
    <row r="224" spans="2:21" s="32" customFormat="1" ht="23.25" customHeight="1">
      <c r="B224" s="190" t="s">
        <v>278</v>
      </c>
      <c r="C224" s="379">
        <v>0</v>
      </c>
      <c r="D224" s="682">
        <v>22</v>
      </c>
      <c r="E224" s="682">
        <v>29</v>
      </c>
      <c r="F224" s="683">
        <v>30</v>
      </c>
      <c r="G224" s="683">
        <v>25</v>
      </c>
      <c r="H224" s="684">
        <v>0</v>
      </c>
      <c r="I224" s="685">
        <f t="shared" si="51"/>
        <v>106</v>
      </c>
      <c r="J224" s="433"/>
      <c r="K224" s="394"/>
      <c r="L224" s="394"/>
      <c r="M224" s="573"/>
      <c r="N224" s="624"/>
      <c r="O224" s="394"/>
      <c r="P224" s="394"/>
      <c r="Q224" s="394"/>
      <c r="R224" s="435"/>
      <c r="S224" s="707">
        <f t="shared" si="52"/>
        <v>106</v>
      </c>
      <c r="U224" s="33"/>
    </row>
    <row r="225" spans="2:21" s="32" customFormat="1" ht="29.25" customHeight="1" thickBot="1">
      <c r="B225" s="191" t="s">
        <v>282</v>
      </c>
      <c r="C225" s="686">
        <v>0</v>
      </c>
      <c r="D225" s="687">
        <v>16</v>
      </c>
      <c r="E225" s="687">
        <v>15</v>
      </c>
      <c r="F225" s="688">
        <v>16</v>
      </c>
      <c r="G225" s="688">
        <v>14</v>
      </c>
      <c r="H225" s="689">
        <v>11</v>
      </c>
      <c r="I225" s="690">
        <f t="shared" si="51"/>
        <v>72</v>
      </c>
      <c r="J225" s="518"/>
      <c r="K225" s="492"/>
      <c r="L225" s="492"/>
      <c r="M225" s="584"/>
      <c r="N225" s="624"/>
      <c r="O225" s="394"/>
      <c r="P225" s="394"/>
      <c r="Q225" s="394"/>
      <c r="R225" s="435"/>
      <c r="S225" s="707">
        <f t="shared" si="52"/>
        <v>72</v>
      </c>
      <c r="U225" s="33"/>
    </row>
    <row r="226" spans="2:21" ht="28.5" customHeight="1" thickBot="1">
      <c r="B226" s="192" t="s">
        <v>268</v>
      </c>
      <c r="C226" s="893"/>
      <c r="D226" s="894"/>
      <c r="E226" s="894"/>
      <c r="F226" s="894"/>
      <c r="G226" s="894"/>
      <c r="H226" s="894"/>
      <c r="I226" s="895"/>
      <c r="J226" s="691">
        <v>439</v>
      </c>
      <c r="K226" s="692">
        <v>265</v>
      </c>
      <c r="L226" s="693">
        <v>217</v>
      </c>
      <c r="M226" s="511">
        <v>212</v>
      </c>
      <c r="N226" s="694">
        <f t="shared" ref="N226:N239" si="53">SUM(J226:M226)</f>
        <v>1133</v>
      </c>
      <c r="O226" s="394">
        <v>0</v>
      </c>
      <c r="P226" s="394">
        <v>0</v>
      </c>
      <c r="Q226" s="394">
        <v>0</v>
      </c>
      <c r="R226" s="435"/>
      <c r="S226" s="707">
        <f t="shared" si="52"/>
        <v>1133</v>
      </c>
    </row>
    <row r="227" spans="2:21" ht="28.5" customHeight="1" thickBot="1">
      <c r="B227" s="193" t="s">
        <v>276</v>
      </c>
      <c r="C227" s="899"/>
      <c r="D227" s="900"/>
      <c r="E227" s="900"/>
      <c r="F227" s="900"/>
      <c r="G227" s="900"/>
      <c r="H227" s="900"/>
      <c r="I227" s="900"/>
      <c r="J227" s="900"/>
      <c r="K227" s="900"/>
      <c r="L227" s="900"/>
      <c r="M227" s="900"/>
      <c r="N227" s="901"/>
      <c r="O227" s="695">
        <v>168</v>
      </c>
      <c r="P227" s="696">
        <v>83</v>
      </c>
      <c r="Q227" s="697">
        <v>90</v>
      </c>
      <c r="R227" s="698">
        <f>SUM(O227:Q227)</f>
        <v>341</v>
      </c>
      <c r="S227" s="707">
        <f t="shared" si="52"/>
        <v>341</v>
      </c>
    </row>
    <row r="228" spans="2:21" ht="18">
      <c r="B228" s="906"/>
      <c r="C228" s="433">
        <v>0</v>
      </c>
      <c r="D228" s="394">
        <v>0</v>
      </c>
      <c r="E228" s="394">
        <v>0</v>
      </c>
      <c r="F228" s="394">
        <v>0</v>
      </c>
      <c r="G228" s="394">
        <v>0</v>
      </c>
      <c r="H228" s="394">
        <v>0</v>
      </c>
      <c r="I228" s="896"/>
      <c r="J228" s="455"/>
      <c r="K228" s="455"/>
      <c r="L228" s="455"/>
      <c r="M228" s="455"/>
      <c r="N228" s="434"/>
      <c r="O228" s="455"/>
      <c r="P228" s="455"/>
      <c r="Q228" s="455"/>
      <c r="R228" s="395"/>
      <c r="S228" s="890"/>
    </row>
    <row r="229" spans="2:21" ht="18">
      <c r="B229" s="906"/>
      <c r="C229" s="433">
        <v>0</v>
      </c>
      <c r="D229" s="394">
        <v>0</v>
      </c>
      <c r="E229" s="394">
        <v>0</v>
      </c>
      <c r="F229" s="394">
        <v>0</v>
      </c>
      <c r="G229" s="394">
        <v>0</v>
      </c>
      <c r="H229" s="394">
        <v>0</v>
      </c>
      <c r="I229" s="897"/>
      <c r="J229" s="455"/>
      <c r="K229" s="455"/>
      <c r="L229" s="455"/>
      <c r="M229" s="455"/>
      <c r="N229" s="434"/>
      <c r="O229" s="455"/>
      <c r="P229" s="455"/>
      <c r="Q229" s="455"/>
      <c r="R229" s="395"/>
      <c r="S229" s="891"/>
    </row>
    <row r="230" spans="2:21" ht="18">
      <c r="B230" s="906"/>
      <c r="C230" s="433">
        <v>0</v>
      </c>
      <c r="D230" s="394">
        <v>0</v>
      </c>
      <c r="E230" s="394" t="s">
        <v>114</v>
      </c>
      <c r="F230" s="394">
        <v>0</v>
      </c>
      <c r="G230" s="394">
        <v>0</v>
      </c>
      <c r="H230" s="394">
        <v>0</v>
      </c>
      <c r="I230" s="897"/>
      <c r="J230" s="455"/>
      <c r="K230" s="455"/>
      <c r="L230" s="455"/>
      <c r="M230" s="455"/>
      <c r="N230" s="434"/>
      <c r="O230" s="455"/>
      <c r="P230" s="455"/>
      <c r="Q230" s="455"/>
      <c r="R230" s="395"/>
      <c r="S230" s="891"/>
    </row>
    <row r="231" spans="2:21" ht="18">
      <c r="B231" s="906"/>
      <c r="C231" s="433">
        <v>0</v>
      </c>
      <c r="D231" s="394">
        <v>0</v>
      </c>
      <c r="E231" s="394">
        <v>0</v>
      </c>
      <c r="F231" s="394">
        <v>0</v>
      </c>
      <c r="G231" s="394">
        <v>0</v>
      </c>
      <c r="H231" s="394">
        <v>0</v>
      </c>
      <c r="I231" s="897"/>
      <c r="J231" s="455"/>
      <c r="K231" s="455"/>
      <c r="L231" s="455"/>
      <c r="M231" s="455"/>
      <c r="N231" s="434"/>
      <c r="O231" s="455"/>
      <c r="P231" s="455"/>
      <c r="Q231" s="455"/>
      <c r="R231" s="395"/>
      <c r="S231" s="891"/>
    </row>
    <row r="232" spans="2:21" ht="18">
      <c r="B232" s="906"/>
      <c r="C232" s="433">
        <v>0</v>
      </c>
      <c r="D232" s="394">
        <v>0</v>
      </c>
      <c r="E232" s="394">
        <v>0</v>
      </c>
      <c r="F232" s="394">
        <v>0</v>
      </c>
      <c r="G232" s="394">
        <v>0</v>
      </c>
      <c r="H232" s="394">
        <v>0</v>
      </c>
      <c r="I232" s="897"/>
      <c r="J232" s="455"/>
      <c r="K232" s="455"/>
      <c r="L232" s="455"/>
      <c r="M232" s="455"/>
      <c r="N232" s="434"/>
      <c r="O232" s="455"/>
      <c r="P232" s="455"/>
      <c r="Q232" s="455"/>
      <c r="R232" s="395"/>
      <c r="S232" s="891"/>
    </row>
    <row r="233" spans="2:21" ht="18">
      <c r="B233" s="906"/>
      <c r="C233" s="433">
        <v>0</v>
      </c>
      <c r="D233" s="394">
        <v>0</v>
      </c>
      <c r="E233" s="394">
        <v>0</v>
      </c>
      <c r="F233" s="394">
        <v>0</v>
      </c>
      <c r="G233" s="394">
        <v>0</v>
      </c>
      <c r="H233" s="394">
        <v>0</v>
      </c>
      <c r="I233" s="897"/>
      <c r="J233" s="455"/>
      <c r="K233" s="455"/>
      <c r="L233" s="455"/>
      <c r="M233" s="455"/>
      <c r="N233" s="434"/>
      <c r="O233" s="455"/>
      <c r="P233" s="455"/>
      <c r="Q233" s="455"/>
      <c r="R233" s="395"/>
      <c r="S233" s="891"/>
    </row>
    <row r="234" spans="2:21" ht="18">
      <c r="B234" s="906"/>
      <c r="C234" s="433">
        <v>0</v>
      </c>
      <c r="D234" s="394">
        <v>0</v>
      </c>
      <c r="E234" s="394">
        <v>0</v>
      </c>
      <c r="F234" s="394">
        <v>0</v>
      </c>
      <c r="G234" s="394">
        <v>0</v>
      </c>
      <c r="H234" s="394">
        <v>0</v>
      </c>
      <c r="I234" s="897"/>
      <c r="J234" s="455"/>
      <c r="K234" s="455"/>
      <c r="L234" s="455"/>
      <c r="M234" s="455"/>
      <c r="N234" s="434"/>
      <c r="O234" s="455"/>
      <c r="P234" s="455"/>
      <c r="Q234" s="455"/>
      <c r="R234" s="395"/>
      <c r="S234" s="891"/>
    </row>
    <row r="235" spans="2:21" ht="18">
      <c r="B235" s="906"/>
      <c r="C235" s="433">
        <v>0</v>
      </c>
      <c r="D235" s="394">
        <v>0</v>
      </c>
      <c r="E235" s="394">
        <v>0</v>
      </c>
      <c r="F235" s="394">
        <v>0</v>
      </c>
      <c r="G235" s="394">
        <v>0</v>
      </c>
      <c r="H235" s="394">
        <v>0</v>
      </c>
      <c r="I235" s="897"/>
      <c r="J235" s="455"/>
      <c r="K235" s="455"/>
      <c r="L235" s="455"/>
      <c r="M235" s="455"/>
      <c r="N235" s="434"/>
      <c r="O235" s="455"/>
      <c r="P235" s="455"/>
      <c r="Q235" s="455"/>
      <c r="R235" s="395"/>
      <c r="S235" s="891"/>
    </row>
    <row r="236" spans="2:21" ht="18">
      <c r="B236" s="906"/>
      <c r="C236" s="433">
        <v>0</v>
      </c>
      <c r="D236" s="394">
        <v>0</v>
      </c>
      <c r="E236" s="394">
        <v>0</v>
      </c>
      <c r="F236" s="394">
        <v>0</v>
      </c>
      <c r="G236" s="394">
        <v>0</v>
      </c>
      <c r="H236" s="394">
        <v>0</v>
      </c>
      <c r="I236" s="897"/>
      <c r="J236" s="455"/>
      <c r="K236" s="455"/>
      <c r="L236" s="455"/>
      <c r="M236" s="455"/>
      <c r="N236" s="434"/>
      <c r="O236" s="455"/>
      <c r="P236" s="455"/>
      <c r="Q236" s="455"/>
      <c r="R236" s="395"/>
      <c r="S236" s="891"/>
    </row>
    <row r="237" spans="2:21" ht="18">
      <c r="B237" s="906"/>
      <c r="C237" s="433">
        <v>0</v>
      </c>
      <c r="D237" s="394">
        <v>0</v>
      </c>
      <c r="E237" s="394">
        <v>0</v>
      </c>
      <c r="F237" s="394">
        <v>0</v>
      </c>
      <c r="G237" s="394">
        <v>0</v>
      </c>
      <c r="H237" s="394">
        <v>0</v>
      </c>
      <c r="I237" s="897"/>
      <c r="J237" s="455"/>
      <c r="K237" s="455"/>
      <c r="L237" s="455"/>
      <c r="M237" s="455"/>
      <c r="N237" s="434"/>
      <c r="O237" s="455"/>
      <c r="P237" s="455"/>
      <c r="Q237" s="455"/>
      <c r="R237" s="395"/>
      <c r="S237" s="891"/>
    </row>
    <row r="238" spans="2:21" ht="18.75" thickBot="1">
      <c r="B238" s="907"/>
      <c r="C238" s="433">
        <v>0</v>
      </c>
      <c r="D238" s="492">
        <v>0</v>
      </c>
      <c r="E238" s="492">
        <v>0</v>
      </c>
      <c r="F238" s="492">
        <v>0</v>
      </c>
      <c r="G238" s="492">
        <v>0</v>
      </c>
      <c r="H238" s="492">
        <v>0</v>
      </c>
      <c r="I238" s="898"/>
      <c r="J238" s="504"/>
      <c r="K238" s="504"/>
      <c r="L238" s="504"/>
      <c r="M238" s="504"/>
      <c r="N238" s="699"/>
      <c r="O238" s="504"/>
      <c r="P238" s="504"/>
      <c r="Q238" s="504"/>
      <c r="R238" s="414"/>
      <c r="S238" s="892"/>
    </row>
    <row r="239" spans="2:21" ht="33" customHeight="1" thickBot="1">
      <c r="B239" s="97" t="s">
        <v>23</v>
      </c>
      <c r="C239" s="700">
        <f>C213+C214+C215+C216+C217+C218+C219+C220+C221+C222+C223+C224+C225</f>
        <v>180</v>
      </c>
      <c r="D239" s="701">
        <f>D213+D214+D215+D216+D217+D218+D219+D220+D221+D222+D223+D224+D225</f>
        <v>269</v>
      </c>
      <c r="E239" s="701">
        <f t="shared" ref="E239:H239" si="54">E213+E214+E215+E216+E217+E218+E219+E220+E221+E222+E223+E224+E225</f>
        <v>377</v>
      </c>
      <c r="F239" s="701">
        <f t="shared" si="54"/>
        <v>335</v>
      </c>
      <c r="G239" s="701">
        <f t="shared" si="54"/>
        <v>332</v>
      </c>
      <c r="H239" s="702">
        <f t="shared" si="54"/>
        <v>306</v>
      </c>
      <c r="I239" s="703">
        <f>H239+G239+F239+E239+D239+C239</f>
        <v>1799</v>
      </c>
      <c r="J239" s="704">
        <f>J226</f>
        <v>439</v>
      </c>
      <c r="K239" s="704">
        <f t="shared" ref="K239:M239" si="55">K226</f>
        <v>265</v>
      </c>
      <c r="L239" s="704">
        <f t="shared" si="55"/>
        <v>217</v>
      </c>
      <c r="M239" s="704">
        <f t="shared" si="55"/>
        <v>212</v>
      </c>
      <c r="N239" s="599">
        <f t="shared" si="53"/>
        <v>1133</v>
      </c>
      <c r="O239" s="705">
        <f>O227</f>
        <v>168</v>
      </c>
      <c r="P239" s="705">
        <f t="shared" ref="P239:Q239" si="56">P227</f>
        <v>83</v>
      </c>
      <c r="Q239" s="705">
        <f t="shared" si="56"/>
        <v>90</v>
      </c>
      <c r="R239" s="706">
        <f t="shared" ref="R239" si="57">SUM(O239:Q239)</f>
        <v>341</v>
      </c>
      <c r="S239" s="195">
        <f>S213+S214+S215+S216+S217+S218+S219+S220+S221+S222+S223+S224+S225+S226+S227</f>
        <v>3273</v>
      </c>
    </row>
    <row r="240" spans="2:21" ht="15.75">
      <c r="B240" s="863" t="s">
        <v>4</v>
      </c>
      <c r="C240" s="863"/>
      <c r="D240" s="863"/>
      <c r="E240" s="863"/>
      <c r="F240" s="863"/>
      <c r="G240" s="863"/>
      <c r="H240" s="863"/>
      <c r="I240" s="863"/>
      <c r="J240" s="863"/>
      <c r="K240" s="863"/>
      <c r="L240" s="863"/>
      <c r="M240" s="863"/>
      <c r="N240" s="863"/>
      <c r="O240" s="863"/>
      <c r="P240" s="863"/>
      <c r="Q240" s="863"/>
      <c r="R240" s="863"/>
      <c r="S240" s="863"/>
    </row>
    <row r="241" spans="2:21" ht="15.75">
      <c r="B241" s="863" t="s">
        <v>211</v>
      </c>
      <c r="C241" s="863"/>
      <c r="D241" s="863"/>
      <c r="E241" s="863"/>
      <c r="F241" s="863"/>
      <c r="G241" s="863"/>
      <c r="H241" s="863"/>
      <c r="I241" s="863"/>
      <c r="J241" s="863"/>
      <c r="K241" s="863"/>
      <c r="L241" s="863"/>
      <c r="M241" s="863"/>
      <c r="N241" s="863"/>
      <c r="O241" s="863"/>
      <c r="P241" s="863"/>
      <c r="Q241" s="863"/>
      <c r="R241" s="863"/>
      <c r="S241" s="863"/>
    </row>
    <row r="242" spans="2:21" ht="15.75">
      <c r="B242" s="863" t="s">
        <v>219</v>
      </c>
      <c r="C242" s="863"/>
      <c r="D242" s="863"/>
      <c r="E242" s="863"/>
      <c r="F242" s="863"/>
      <c r="G242" s="863"/>
      <c r="H242" s="863"/>
      <c r="I242" s="863"/>
      <c r="J242" s="863"/>
      <c r="K242" s="863"/>
      <c r="L242" s="863"/>
      <c r="M242" s="863"/>
      <c r="N242" s="863"/>
      <c r="O242" s="863"/>
      <c r="P242" s="863"/>
      <c r="Q242" s="863"/>
      <c r="R242" s="863"/>
      <c r="S242" s="863"/>
    </row>
    <row r="243" spans="2:21" ht="16.5" thickBot="1">
      <c r="B243" s="104" t="s">
        <v>5</v>
      </c>
      <c r="C243" s="105"/>
      <c r="D243" s="105"/>
      <c r="E243" s="105"/>
      <c r="F243" s="865" t="s">
        <v>296</v>
      </c>
      <c r="G243" s="865"/>
      <c r="H243" s="865"/>
      <c r="I243" s="865"/>
      <c r="J243" s="865"/>
      <c r="K243" s="865"/>
      <c r="L243" s="865"/>
      <c r="M243" s="865"/>
      <c r="N243" s="865"/>
      <c r="O243" s="865"/>
      <c r="P243" s="864"/>
      <c r="Q243" s="864"/>
      <c r="R243" s="864"/>
      <c r="S243" s="56"/>
    </row>
    <row r="244" spans="2:21">
      <c r="B244" s="866" t="s">
        <v>3</v>
      </c>
      <c r="C244" s="869" t="s">
        <v>6</v>
      </c>
      <c r="D244" s="870"/>
      <c r="E244" s="870"/>
      <c r="F244" s="870"/>
      <c r="G244" s="870"/>
      <c r="H244" s="870"/>
      <c r="I244" s="871"/>
      <c r="J244" s="875" t="s">
        <v>7</v>
      </c>
      <c r="K244" s="876"/>
      <c r="L244" s="876"/>
      <c r="M244" s="876"/>
      <c r="N244" s="877"/>
      <c r="O244" s="881" t="s">
        <v>8</v>
      </c>
      <c r="P244" s="882"/>
      <c r="Q244" s="882"/>
      <c r="R244" s="883"/>
      <c r="S244" s="887" t="s">
        <v>0</v>
      </c>
    </row>
    <row r="245" spans="2:21" ht="15.75" thickBot="1">
      <c r="B245" s="867"/>
      <c r="C245" s="872"/>
      <c r="D245" s="873"/>
      <c r="E245" s="873"/>
      <c r="F245" s="873"/>
      <c r="G245" s="873"/>
      <c r="H245" s="873"/>
      <c r="I245" s="874"/>
      <c r="J245" s="878"/>
      <c r="K245" s="879"/>
      <c r="L245" s="879"/>
      <c r="M245" s="879"/>
      <c r="N245" s="880"/>
      <c r="O245" s="884"/>
      <c r="P245" s="885"/>
      <c r="Q245" s="885"/>
      <c r="R245" s="886"/>
      <c r="S245" s="888"/>
    </row>
    <row r="246" spans="2:21" ht="16.5" thickBot="1">
      <c r="B246" s="868"/>
      <c r="C246" s="196" t="s">
        <v>10</v>
      </c>
      <c r="D246" s="197" t="s">
        <v>11</v>
      </c>
      <c r="E246" s="197" t="s">
        <v>12</v>
      </c>
      <c r="F246" s="197" t="s">
        <v>13</v>
      </c>
      <c r="G246" s="197" t="s">
        <v>14</v>
      </c>
      <c r="H246" s="198" t="s">
        <v>15</v>
      </c>
      <c r="I246" s="181" t="s">
        <v>16</v>
      </c>
      <c r="J246" s="199" t="s">
        <v>11</v>
      </c>
      <c r="K246" s="200" t="s">
        <v>12</v>
      </c>
      <c r="L246" s="200" t="s">
        <v>13</v>
      </c>
      <c r="M246" s="201" t="s">
        <v>14</v>
      </c>
      <c r="N246" s="202" t="s">
        <v>16</v>
      </c>
      <c r="O246" s="199" t="s">
        <v>11</v>
      </c>
      <c r="P246" s="201" t="s">
        <v>12</v>
      </c>
      <c r="Q246" s="200" t="s">
        <v>13</v>
      </c>
      <c r="R246" s="203" t="s">
        <v>16</v>
      </c>
      <c r="S246" s="889"/>
      <c r="U246" s="14" t="s">
        <v>220</v>
      </c>
    </row>
    <row r="247" spans="2:21" ht="19.5" thickBot="1">
      <c r="B247" s="70" t="s">
        <v>115</v>
      </c>
      <c r="C247" s="376">
        <v>120</v>
      </c>
      <c r="D247" s="424">
        <v>108</v>
      </c>
      <c r="E247" s="424">
        <v>134</v>
      </c>
      <c r="F247" s="424">
        <v>164</v>
      </c>
      <c r="G247" s="424">
        <v>135</v>
      </c>
      <c r="H247" s="425">
        <v>110</v>
      </c>
      <c r="I247" s="426">
        <f>H247+G247+F247+E247+D247+C247</f>
        <v>771</v>
      </c>
      <c r="J247" s="427">
        <v>0</v>
      </c>
      <c r="K247" s="390">
        <v>0</v>
      </c>
      <c r="L247" s="390">
        <v>0</v>
      </c>
      <c r="M247" s="390">
        <v>0</v>
      </c>
      <c r="N247" s="428"/>
      <c r="O247" s="390">
        <v>0</v>
      </c>
      <c r="P247" s="390">
        <v>0</v>
      </c>
      <c r="Q247" s="390">
        <v>0</v>
      </c>
      <c r="R247" s="429"/>
      <c r="S247" s="430">
        <f>I247</f>
        <v>771</v>
      </c>
      <c r="U247" s="8"/>
    </row>
    <row r="248" spans="2:21" ht="19.5" thickBot="1">
      <c r="B248" s="77" t="s">
        <v>116</v>
      </c>
      <c r="C248" s="431">
        <v>49</v>
      </c>
      <c r="D248" s="361">
        <v>56</v>
      </c>
      <c r="E248" s="361">
        <v>59</v>
      </c>
      <c r="F248" s="361">
        <v>41</v>
      </c>
      <c r="G248" s="361">
        <v>59</v>
      </c>
      <c r="H248" s="432">
        <v>49</v>
      </c>
      <c r="I248" s="426">
        <f t="shared" ref="I248:I273" si="58">H248+G248+F248+E248+D248+C248</f>
        <v>313</v>
      </c>
      <c r="J248" s="433">
        <v>0</v>
      </c>
      <c r="K248" s="394">
        <v>0</v>
      </c>
      <c r="L248" s="394">
        <v>0</v>
      </c>
      <c r="M248" s="394">
        <v>0</v>
      </c>
      <c r="N248" s="434"/>
      <c r="O248" s="394">
        <v>0</v>
      </c>
      <c r="P248" s="394">
        <v>0</v>
      </c>
      <c r="Q248" s="394">
        <v>0</v>
      </c>
      <c r="R248" s="435"/>
      <c r="S248" s="430">
        <f t="shared" ref="S248:S273" si="59">I248</f>
        <v>313</v>
      </c>
      <c r="U248" s="8"/>
    </row>
    <row r="249" spans="2:21" ht="19.5" thickBot="1">
      <c r="B249" s="77" t="s">
        <v>117</v>
      </c>
      <c r="C249" s="431">
        <v>65</v>
      </c>
      <c r="D249" s="361">
        <v>69</v>
      </c>
      <c r="E249" s="361">
        <v>89</v>
      </c>
      <c r="F249" s="361">
        <v>72</v>
      </c>
      <c r="G249" s="361">
        <v>66</v>
      </c>
      <c r="H249" s="432">
        <v>63</v>
      </c>
      <c r="I249" s="426">
        <f t="shared" si="58"/>
        <v>424</v>
      </c>
      <c r="J249" s="433">
        <v>0</v>
      </c>
      <c r="K249" s="394">
        <v>0</v>
      </c>
      <c r="L249" s="394">
        <v>0</v>
      </c>
      <c r="M249" s="394">
        <v>0</v>
      </c>
      <c r="N249" s="434"/>
      <c r="O249" s="394">
        <v>0</v>
      </c>
      <c r="P249" s="394">
        <v>0</v>
      </c>
      <c r="Q249" s="394">
        <v>0</v>
      </c>
      <c r="R249" s="435"/>
      <c r="S249" s="430">
        <f t="shared" si="59"/>
        <v>424</v>
      </c>
      <c r="U249" s="8"/>
    </row>
    <row r="250" spans="2:21" ht="19.5" thickBot="1">
      <c r="B250" s="77" t="s">
        <v>118</v>
      </c>
      <c r="C250" s="431">
        <v>70</v>
      </c>
      <c r="D250" s="361">
        <v>73</v>
      </c>
      <c r="E250" s="361">
        <v>88</v>
      </c>
      <c r="F250" s="361">
        <v>88</v>
      </c>
      <c r="G250" s="361">
        <v>59</v>
      </c>
      <c r="H250" s="432">
        <v>62</v>
      </c>
      <c r="I250" s="426">
        <f t="shared" si="58"/>
        <v>440</v>
      </c>
      <c r="J250" s="433">
        <v>0</v>
      </c>
      <c r="K250" s="394">
        <v>0</v>
      </c>
      <c r="L250" s="394">
        <v>0</v>
      </c>
      <c r="M250" s="394">
        <v>0</v>
      </c>
      <c r="N250" s="434"/>
      <c r="O250" s="394">
        <v>0</v>
      </c>
      <c r="P250" s="394">
        <v>0</v>
      </c>
      <c r="Q250" s="394">
        <v>0</v>
      </c>
      <c r="R250" s="435"/>
      <c r="S250" s="430">
        <f t="shared" si="59"/>
        <v>440</v>
      </c>
      <c r="U250" s="8"/>
    </row>
    <row r="251" spans="2:21" ht="19.5" thickBot="1">
      <c r="B251" s="77" t="s">
        <v>119</v>
      </c>
      <c r="C251" s="431">
        <v>57</v>
      </c>
      <c r="D251" s="361">
        <v>67</v>
      </c>
      <c r="E251" s="361">
        <v>66</v>
      </c>
      <c r="F251" s="361">
        <v>93</v>
      </c>
      <c r="G251" s="361">
        <v>60</v>
      </c>
      <c r="H251" s="432">
        <v>62</v>
      </c>
      <c r="I251" s="426">
        <f t="shared" si="58"/>
        <v>405</v>
      </c>
      <c r="J251" s="433">
        <v>0</v>
      </c>
      <c r="K251" s="394">
        <v>0</v>
      </c>
      <c r="L251" s="394">
        <v>0</v>
      </c>
      <c r="M251" s="394">
        <v>0</v>
      </c>
      <c r="N251" s="434"/>
      <c r="O251" s="394">
        <v>0</v>
      </c>
      <c r="P251" s="394">
        <v>0</v>
      </c>
      <c r="Q251" s="394">
        <v>0</v>
      </c>
      <c r="R251" s="435"/>
      <c r="S251" s="430">
        <f t="shared" si="59"/>
        <v>405</v>
      </c>
      <c r="U251" s="8"/>
    </row>
    <row r="252" spans="2:21" ht="19.5" thickBot="1">
      <c r="B252" s="77" t="s">
        <v>120</v>
      </c>
      <c r="C252" s="431">
        <v>41</v>
      </c>
      <c r="D252" s="361">
        <v>31</v>
      </c>
      <c r="E252" s="361">
        <v>39</v>
      </c>
      <c r="F252" s="361">
        <v>25</v>
      </c>
      <c r="G252" s="361">
        <v>24</v>
      </c>
      <c r="H252" s="432">
        <v>23</v>
      </c>
      <c r="I252" s="426">
        <f t="shared" si="58"/>
        <v>183</v>
      </c>
      <c r="J252" s="433">
        <v>0</v>
      </c>
      <c r="K252" s="394">
        <v>0</v>
      </c>
      <c r="L252" s="394">
        <v>0</v>
      </c>
      <c r="M252" s="394">
        <v>0</v>
      </c>
      <c r="N252" s="434"/>
      <c r="O252" s="394">
        <v>0</v>
      </c>
      <c r="P252" s="394">
        <v>0</v>
      </c>
      <c r="Q252" s="394">
        <v>0</v>
      </c>
      <c r="R252" s="435"/>
      <c r="S252" s="430">
        <f t="shared" si="59"/>
        <v>183</v>
      </c>
      <c r="U252" s="8"/>
    </row>
    <row r="253" spans="2:21" ht="19.5" thickBot="1">
      <c r="B253" s="77" t="s">
        <v>231</v>
      </c>
      <c r="C253" s="431">
        <v>26</v>
      </c>
      <c r="D253" s="361">
        <v>37</v>
      </c>
      <c r="E253" s="361">
        <v>52</v>
      </c>
      <c r="F253" s="361">
        <v>41</v>
      </c>
      <c r="G253" s="361">
        <v>40</v>
      </c>
      <c r="H253" s="432">
        <v>29</v>
      </c>
      <c r="I253" s="426">
        <f t="shared" si="58"/>
        <v>225</v>
      </c>
      <c r="J253" s="433">
        <v>0</v>
      </c>
      <c r="K253" s="394">
        <v>0</v>
      </c>
      <c r="L253" s="394">
        <v>0</v>
      </c>
      <c r="M253" s="394">
        <v>0</v>
      </c>
      <c r="N253" s="434"/>
      <c r="O253" s="394">
        <v>0</v>
      </c>
      <c r="P253" s="394">
        <v>0</v>
      </c>
      <c r="Q253" s="394">
        <v>0</v>
      </c>
      <c r="R253" s="435"/>
      <c r="S253" s="430">
        <f t="shared" si="59"/>
        <v>225</v>
      </c>
      <c r="U253" s="8"/>
    </row>
    <row r="254" spans="2:21" ht="19.5" thickBot="1">
      <c r="B254" s="77" t="s">
        <v>121</v>
      </c>
      <c r="C254" s="431">
        <v>41</v>
      </c>
      <c r="D254" s="361">
        <v>71</v>
      </c>
      <c r="E254" s="361">
        <v>71</v>
      </c>
      <c r="F254" s="361">
        <v>59</v>
      </c>
      <c r="G254" s="361">
        <v>66</v>
      </c>
      <c r="H254" s="432">
        <v>54</v>
      </c>
      <c r="I254" s="426">
        <f t="shared" si="58"/>
        <v>362</v>
      </c>
      <c r="J254" s="433">
        <v>0</v>
      </c>
      <c r="K254" s="394">
        <v>0</v>
      </c>
      <c r="L254" s="394">
        <v>0</v>
      </c>
      <c r="M254" s="394">
        <v>0</v>
      </c>
      <c r="N254" s="434"/>
      <c r="O254" s="394">
        <v>0</v>
      </c>
      <c r="P254" s="394">
        <v>0</v>
      </c>
      <c r="Q254" s="394">
        <v>0</v>
      </c>
      <c r="R254" s="435"/>
      <c r="S254" s="430">
        <f t="shared" si="59"/>
        <v>362</v>
      </c>
      <c r="U254" s="8"/>
    </row>
    <row r="255" spans="2:21" ht="19.5" thickBot="1">
      <c r="B255" s="77" t="s">
        <v>122</v>
      </c>
      <c r="C255" s="431">
        <v>50</v>
      </c>
      <c r="D255" s="361">
        <v>72</v>
      </c>
      <c r="E255" s="361">
        <v>91</v>
      </c>
      <c r="F255" s="361">
        <v>72</v>
      </c>
      <c r="G255" s="361">
        <v>84</v>
      </c>
      <c r="H255" s="432">
        <v>65</v>
      </c>
      <c r="I255" s="426">
        <f t="shared" si="58"/>
        <v>434</v>
      </c>
      <c r="J255" s="433">
        <v>0</v>
      </c>
      <c r="K255" s="394">
        <v>0</v>
      </c>
      <c r="L255" s="394">
        <v>0</v>
      </c>
      <c r="M255" s="394">
        <v>0</v>
      </c>
      <c r="N255" s="434"/>
      <c r="O255" s="394">
        <v>0</v>
      </c>
      <c r="P255" s="394">
        <v>0</v>
      </c>
      <c r="Q255" s="394">
        <v>0</v>
      </c>
      <c r="R255" s="435"/>
      <c r="S255" s="430">
        <f t="shared" si="59"/>
        <v>434</v>
      </c>
      <c r="U255" s="8"/>
    </row>
    <row r="256" spans="2:21" ht="19.5" thickBot="1">
      <c r="B256" s="77" t="s">
        <v>123</v>
      </c>
      <c r="C256" s="431">
        <v>50</v>
      </c>
      <c r="D256" s="361">
        <v>66</v>
      </c>
      <c r="E256" s="361">
        <v>72</v>
      </c>
      <c r="F256" s="361">
        <v>72</v>
      </c>
      <c r="G256" s="361">
        <v>81</v>
      </c>
      <c r="H256" s="432">
        <v>77</v>
      </c>
      <c r="I256" s="426">
        <f t="shared" si="58"/>
        <v>418</v>
      </c>
      <c r="J256" s="433">
        <v>0</v>
      </c>
      <c r="K256" s="394">
        <v>0</v>
      </c>
      <c r="L256" s="394">
        <v>0</v>
      </c>
      <c r="M256" s="394">
        <v>0</v>
      </c>
      <c r="N256" s="434"/>
      <c r="O256" s="394">
        <v>0</v>
      </c>
      <c r="P256" s="394">
        <v>0</v>
      </c>
      <c r="Q256" s="394">
        <v>0</v>
      </c>
      <c r="R256" s="435"/>
      <c r="S256" s="430">
        <f t="shared" si="59"/>
        <v>418</v>
      </c>
      <c r="U256" s="8"/>
    </row>
    <row r="257" spans="2:21" ht="19.5" thickBot="1">
      <c r="B257" s="77" t="s">
        <v>124</v>
      </c>
      <c r="C257" s="431">
        <v>18</v>
      </c>
      <c r="D257" s="361">
        <v>23</v>
      </c>
      <c r="E257" s="361">
        <v>15</v>
      </c>
      <c r="F257" s="361">
        <v>18</v>
      </c>
      <c r="G257" s="361">
        <v>24</v>
      </c>
      <c r="H257" s="432">
        <v>18</v>
      </c>
      <c r="I257" s="426">
        <f t="shared" si="58"/>
        <v>116</v>
      </c>
      <c r="J257" s="433">
        <v>0</v>
      </c>
      <c r="K257" s="394">
        <v>0</v>
      </c>
      <c r="L257" s="394">
        <v>0</v>
      </c>
      <c r="M257" s="394">
        <v>0</v>
      </c>
      <c r="N257" s="434"/>
      <c r="O257" s="394">
        <v>0</v>
      </c>
      <c r="P257" s="394">
        <v>0</v>
      </c>
      <c r="Q257" s="394">
        <v>0</v>
      </c>
      <c r="R257" s="435"/>
      <c r="S257" s="430">
        <f t="shared" si="59"/>
        <v>116</v>
      </c>
      <c r="U257" s="8"/>
    </row>
    <row r="258" spans="2:21" ht="19.5" thickBot="1">
      <c r="B258" s="77" t="s">
        <v>125</v>
      </c>
      <c r="C258" s="436">
        <v>0</v>
      </c>
      <c r="D258" s="365">
        <v>21</v>
      </c>
      <c r="E258" s="365">
        <v>37</v>
      </c>
      <c r="F258" s="365">
        <v>25</v>
      </c>
      <c r="G258" s="361">
        <v>17</v>
      </c>
      <c r="H258" s="437">
        <v>12</v>
      </c>
      <c r="I258" s="426">
        <f t="shared" si="58"/>
        <v>112</v>
      </c>
      <c r="J258" s="433">
        <v>0</v>
      </c>
      <c r="K258" s="394">
        <v>0</v>
      </c>
      <c r="L258" s="394">
        <v>0</v>
      </c>
      <c r="M258" s="394">
        <v>0</v>
      </c>
      <c r="N258" s="434"/>
      <c r="O258" s="394">
        <v>0</v>
      </c>
      <c r="P258" s="394">
        <v>0</v>
      </c>
      <c r="Q258" s="394">
        <v>0</v>
      </c>
      <c r="R258" s="435"/>
      <c r="S258" s="430">
        <f t="shared" si="59"/>
        <v>112</v>
      </c>
      <c r="U258" s="8"/>
    </row>
    <row r="259" spans="2:21" ht="19.5" thickBot="1">
      <c r="B259" s="77" t="s">
        <v>126</v>
      </c>
      <c r="C259" s="379">
        <v>0</v>
      </c>
      <c r="D259" s="380">
        <v>8</v>
      </c>
      <c r="E259" s="380">
        <v>7</v>
      </c>
      <c r="F259" s="380">
        <v>7</v>
      </c>
      <c r="G259" s="361">
        <v>8</v>
      </c>
      <c r="H259" s="438">
        <v>6</v>
      </c>
      <c r="I259" s="426">
        <f t="shared" si="58"/>
        <v>36</v>
      </c>
      <c r="J259" s="433">
        <v>0</v>
      </c>
      <c r="K259" s="394">
        <v>0</v>
      </c>
      <c r="L259" s="394">
        <v>0</v>
      </c>
      <c r="M259" s="394">
        <v>0</v>
      </c>
      <c r="N259" s="434"/>
      <c r="O259" s="394">
        <v>0</v>
      </c>
      <c r="P259" s="394">
        <v>0</v>
      </c>
      <c r="Q259" s="394">
        <v>0</v>
      </c>
      <c r="R259" s="435"/>
      <c r="S259" s="430">
        <f t="shared" si="59"/>
        <v>36</v>
      </c>
      <c r="U259" s="8"/>
    </row>
    <row r="260" spans="2:21" ht="19.5" thickBot="1">
      <c r="B260" s="77" t="s">
        <v>127</v>
      </c>
      <c r="C260" s="379">
        <v>0</v>
      </c>
      <c r="D260" s="380">
        <v>5</v>
      </c>
      <c r="E260" s="380">
        <v>4</v>
      </c>
      <c r="F260" s="380">
        <v>9</v>
      </c>
      <c r="G260" s="361">
        <v>7</v>
      </c>
      <c r="H260" s="438">
        <v>8</v>
      </c>
      <c r="I260" s="426">
        <f t="shared" si="58"/>
        <v>33</v>
      </c>
      <c r="J260" s="433">
        <v>0</v>
      </c>
      <c r="K260" s="394">
        <v>0</v>
      </c>
      <c r="L260" s="394">
        <v>0</v>
      </c>
      <c r="M260" s="394">
        <v>0</v>
      </c>
      <c r="N260" s="434"/>
      <c r="O260" s="394">
        <v>0</v>
      </c>
      <c r="P260" s="394">
        <v>0</v>
      </c>
      <c r="Q260" s="394">
        <v>0</v>
      </c>
      <c r="R260" s="435"/>
      <c r="S260" s="430">
        <f t="shared" si="59"/>
        <v>33</v>
      </c>
      <c r="U260" s="8"/>
    </row>
    <row r="261" spans="2:21" ht="19.5" thickBot="1">
      <c r="B261" s="77" t="s">
        <v>255</v>
      </c>
      <c r="C261" s="379">
        <v>9</v>
      </c>
      <c r="D261" s="380">
        <v>24</v>
      </c>
      <c r="E261" s="380">
        <v>14</v>
      </c>
      <c r="F261" s="380">
        <v>26</v>
      </c>
      <c r="G261" s="361">
        <v>21</v>
      </c>
      <c r="H261" s="438">
        <v>20</v>
      </c>
      <c r="I261" s="426">
        <f t="shared" si="58"/>
        <v>114</v>
      </c>
      <c r="J261" s="433">
        <v>0</v>
      </c>
      <c r="K261" s="394">
        <v>0</v>
      </c>
      <c r="L261" s="394">
        <v>0</v>
      </c>
      <c r="M261" s="394">
        <v>0</v>
      </c>
      <c r="N261" s="434"/>
      <c r="O261" s="394">
        <v>0</v>
      </c>
      <c r="P261" s="394">
        <v>0</v>
      </c>
      <c r="Q261" s="394">
        <v>0</v>
      </c>
      <c r="R261" s="435"/>
      <c r="S261" s="430">
        <f t="shared" si="59"/>
        <v>114</v>
      </c>
      <c r="U261" s="8"/>
    </row>
    <row r="262" spans="2:21" ht="19.5" thickBot="1">
      <c r="B262" s="77" t="s">
        <v>128</v>
      </c>
      <c r="C262" s="379">
        <v>0</v>
      </c>
      <c r="D262" s="380">
        <v>6</v>
      </c>
      <c r="E262" s="380">
        <v>7</v>
      </c>
      <c r="F262" s="380">
        <v>3</v>
      </c>
      <c r="G262" s="361">
        <v>7</v>
      </c>
      <c r="H262" s="438">
        <v>6</v>
      </c>
      <c r="I262" s="426">
        <f t="shared" si="58"/>
        <v>29</v>
      </c>
      <c r="J262" s="433">
        <v>0</v>
      </c>
      <c r="K262" s="394">
        <v>0</v>
      </c>
      <c r="L262" s="394">
        <v>0</v>
      </c>
      <c r="M262" s="394">
        <v>0</v>
      </c>
      <c r="N262" s="434"/>
      <c r="O262" s="394">
        <v>0</v>
      </c>
      <c r="P262" s="394">
        <v>0</v>
      </c>
      <c r="Q262" s="394">
        <v>0</v>
      </c>
      <c r="R262" s="435"/>
      <c r="S262" s="430">
        <f t="shared" si="59"/>
        <v>29</v>
      </c>
      <c r="U262" s="8"/>
    </row>
    <row r="263" spans="2:21" ht="19.5" thickBot="1">
      <c r="B263" s="77" t="s">
        <v>129</v>
      </c>
      <c r="C263" s="379">
        <v>86</v>
      </c>
      <c r="D263" s="380">
        <v>108</v>
      </c>
      <c r="E263" s="380">
        <v>156</v>
      </c>
      <c r="F263" s="380">
        <v>119</v>
      </c>
      <c r="G263" s="361">
        <v>109</v>
      </c>
      <c r="H263" s="438">
        <v>67</v>
      </c>
      <c r="I263" s="363">
        <f t="shared" si="58"/>
        <v>645</v>
      </c>
      <c r="J263" s="394"/>
      <c r="K263" s="394"/>
      <c r="L263" s="394"/>
      <c r="M263" s="394"/>
      <c r="N263" s="434"/>
      <c r="O263" s="394"/>
      <c r="P263" s="394"/>
      <c r="Q263" s="394"/>
      <c r="R263" s="435"/>
      <c r="S263" s="430">
        <f t="shared" si="59"/>
        <v>645</v>
      </c>
      <c r="U263" s="8"/>
    </row>
    <row r="264" spans="2:21" ht="19.5" thickBot="1">
      <c r="B264" s="77" t="s">
        <v>130</v>
      </c>
      <c r="C264" s="379">
        <v>22</v>
      </c>
      <c r="D264" s="380">
        <v>53</v>
      </c>
      <c r="E264" s="380">
        <v>52</v>
      </c>
      <c r="F264" s="380">
        <v>51</v>
      </c>
      <c r="G264" s="361">
        <v>59</v>
      </c>
      <c r="H264" s="438">
        <v>46</v>
      </c>
      <c r="I264" s="363">
        <f t="shared" si="58"/>
        <v>283</v>
      </c>
      <c r="J264" s="394"/>
      <c r="K264" s="394"/>
      <c r="L264" s="394"/>
      <c r="M264" s="394"/>
      <c r="N264" s="434"/>
      <c r="O264" s="394"/>
      <c r="P264" s="394"/>
      <c r="Q264" s="394"/>
      <c r="R264" s="435"/>
      <c r="S264" s="430">
        <f t="shared" si="59"/>
        <v>283</v>
      </c>
      <c r="U264" s="8"/>
    </row>
    <row r="265" spans="2:21" ht="19.5" thickBot="1">
      <c r="B265" s="77" t="s">
        <v>131</v>
      </c>
      <c r="C265" s="379">
        <v>0</v>
      </c>
      <c r="D265" s="380">
        <v>16</v>
      </c>
      <c r="E265" s="380">
        <v>17</v>
      </c>
      <c r="F265" s="380">
        <v>25</v>
      </c>
      <c r="G265" s="361">
        <v>23</v>
      </c>
      <c r="H265" s="438">
        <v>13</v>
      </c>
      <c r="I265" s="363">
        <f t="shared" si="58"/>
        <v>94</v>
      </c>
      <c r="J265" s="394"/>
      <c r="K265" s="394"/>
      <c r="L265" s="394"/>
      <c r="M265" s="394"/>
      <c r="N265" s="434"/>
      <c r="O265" s="394"/>
      <c r="P265" s="394"/>
      <c r="Q265" s="394"/>
      <c r="R265" s="435"/>
      <c r="S265" s="430">
        <f t="shared" si="59"/>
        <v>94</v>
      </c>
      <c r="U265" s="8"/>
    </row>
    <row r="266" spans="2:21" ht="19.5" thickBot="1">
      <c r="B266" s="77" t="s">
        <v>251</v>
      </c>
      <c r="C266" s="379">
        <v>0</v>
      </c>
      <c r="D266" s="380">
        <v>3</v>
      </c>
      <c r="E266" s="380">
        <v>6</v>
      </c>
      <c r="F266" s="380">
        <v>3</v>
      </c>
      <c r="G266" s="361">
        <v>3</v>
      </c>
      <c r="H266" s="438">
        <v>0</v>
      </c>
      <c r="I266" s="363">
        <f t="shared" si="58"/>
        <v>15</v>
      </c>
      <c r="J266" s="394"/>
      <c r="K266" s="394"/>
      <c r="L266" s="394"/>
      <c r="M266" s="394"/>
      <c r="N266" s="434"/>
      <c r="O266" s="394"/>
      <c r="P266" s="394"/>
      <c r="Q266" s="394"/>
      <c r="R266" s="435"/>
      <c r="S266" s="430">
        <f t="shared" si="59"/>
        <v>15</v>
      </c>
      <c r="U266" s="8"/>
    </row>
    <row r="267" spans="2:21" ht="19.5" thickBot="1">
      <c r="B267" s="77" t="s">
        <v>132</v>
      </c>
      <c r="C267" s="379">
        <v>0</v>
      </c>
      <c r="D267" s="380">
        <v>4</v>
      </c>
      <c r="E267" s="380">
        <v>6</v>
      </c>
      <c r="F267" s="380">
        <v>3</v>
      </c>
      <c r="G267" s="361">
        <v>1</v>
      </c>
      <c r="H267" s="438">
        <v>4</v>
      </c>
      <c r="I267" s="363">
        <f t="shared" si="58"/>
        <v>18</v>
      </c>
      <c r="J267" s="394"/>
      <c r="K267" s="394"/>
      <c r="L267" s="394"/>
      <c r="M267" s="394"/>
      <c r="N267" s="434"/>
      <c r="O267" s="394"/>
      <c r="P267" s="394"/>
      <c r="Q267" s="394"/>
      <c r="R267" s="435"/>
      <c r="S267" s="430">
        <f t="shared" si="59"/>
        <v>18</v>
      </c>
      <c r="U267" s="8"/>
    </row>
    <row r="268" spans="2:21" ht="19.5" thickBot="1">
      <c r="B268" s="77" t="s">
        <v>247</v>
      </c>
      <c r="C268" s="379">
        <v>0</v>
      </c>
      <c r="D268" s="380">
        <v>4</v>
      </c>
      <c r="E268" s="380">
        <v>7</v>
      </c>
      <c r="F268" s="380">
        <v>8</v>
      </c>
      <c r="G268" s="361">
        <v>9</v>
      </c>
      <c r="H268" s="438">
        <v>4</v>
      </c>
      <c r="I268" s="367">
        <f t="shared" si="58"/>
        <v>32</v>
      </c>
      <c r="J268" s="394"/>
      <c r="K268" s="394"/>
      <c r="L268" s="394"/>
      <c r="M268" s="394"/>
      <c r="N268" s="434"/>
      <c r="O268" s="394"/>
      <c r="P268" s="394"/>
      <c r="Q268" s="394"/>
      <c r="R268" s="435"/>
      <c r="S268" s="430">
        <f t="shared" si="59"/>
        <v>32</v>
      </c>
      <c r="U268" s="8"/>
    </row>
    <row r="269" spans="2:21" s="32" customFormat="1" ht="19.5" thickBot="1">
      <c r="B269" s="77" t="s">
        <v>248</v>
      </c>
      <c r="C269" s="379">
        <v>32</v>
      </c>
      <c r="D269" s="380">
        <v>35</v>
      </c>
      <c r="E269" s="380">
        <v>44</v>
      </c>
      <c r="F269" s="380">
        <v>44</v>
      </c>
      <c r="G269" s="361">
        <v>33</v>
      </c>
      <c r="H269" s="438">
        <v>48</v>
      </c>
      <c r="I269" s="367">
        <f t="shared" si="58"/>
        <v>236</v>
      </c>
      <c r="J269" s="394"/>
      <c r="K269" s="394"/>
      <c r="L269" s="394"/>
      <c r="M269" s="394"/>
      <c r="N269" s="434"/>
      <c r="O269" s="394"/>
      <c r="P269" s="394"/>
      <c r="Q269" s="394"/>
      <c r="R269" s="435"/>
      <c r="S269" s="430">
        <f t="shared" si="59"/>
        <v>236</v>
      </c>
      <c r="U269" s="8"/>
    </row>
    <row r="270" spans="2:21" ht="19.5" thickBot="1">
      <c r="B270" s="77" t="s">
        <v>235</v>
      </c>
      <c r="C270" s="379">
        <v>0</v>
      </c>
      <c r="D270" s="380">
        <v>5</v>
      </c>
      <c r="E270" s="380">
        <v>0</v>
      </c>
      <c r="F270" s="380">
        <v>3</v>
      </c>
      <c r="G270" s="361">
        <v>2</v>
      </c>
      <c r="H270" s="438">
        <v>1</v>
      </c>
      <c r="I270" s="367">
        <f t="shared" si="58"/>
        <v>11</v>
      </c>
      <c r="J270" s="394"/>
      <c r="K270" s="394"/>
      <c r="L270" s="394"/>
      <c r="M270" s="394"/>
      <c r="N270" s="434"/>
      <c r="O270" s="394"/>
      <c r="P270" s="394"/>
      <c r="Q270" s="394"/>
      <c r="R270" s="435"/>
      <c r="S270" s="430">
        <f t="shared" si="59"/>
        <v>11</v>
      </c>
      <c r="U270" s="8"/>
    </row>
    <row r="271" spans="2:21" ht="19.5" thickBot="1">
      <c r="B271" s="77" t="s">
        <v>236</v>
      </c>
      <c r="C271" s="379">
        <v>0</v>
      </c>
      <c r="D271" s="380">
        <v>1</v>
      </c>
      <c r="E271" s="380">
        <v>5</v>
      </c>
      <c r="F271" s="380">
        <v>0</v>
      </c>
      <c r="G271" s="361">
        <v>0</v>
      </c>
      <c r="H271" s="438">
        <v>0</v>
      </c>
      <c r="I271" s="367">
        <f t="shared" si="58"/>
        <v>6</v>
      </c>
      <c r="J271" s="394"/>
      <c r="K271" s="394"/>
      <c r="L271" s="394"/>
      <c r="M271" s="394"/>
      <c r="N271" s="434"/>
      <c r="O271" s="394"/>
      <c r="P271" s="394"/>
      <c r="Q271" s="394"/>
      <c r="R271" s="435"/>
      <c r="S271" s="430">
        <f t="shared" si="59"/>
        <v>6</v>
      </c>
      <c r="U271" s="8"/>
    </row>
    <row r="272" spans="2:21" ht="19.5" thickBot="1">
      <c r="B272" s="77" t="s">
        <v>256</v>
      </c>
      <c r="C272" s="379">
        <v>0</v>
      </c>
      <c r="D272" s="380">
        <v>3</v>
      </c>
      <c r="E272" s="380">
        <v>4</v>
      </c>
      <c r="F272" s="380">
        <v>2</v>
      </c>
      <c r="G272" s="361">
        <v>3</v>
      </c>
      <c r="H272" s="438">
        <v>5</v>
      </c>
      <c r="I272" s="367">
        <f t="shared" si="58"/>
        <v>17</v>
      </c>
      <c r="J272" s="394"/>
      <c r="K272" s="394"/>
      <c r="L272" s="394"/>
      <c r="M272" s="394"/>
      <c r="N272" s="434"/>
      <c r="O272" s="394"/>
      <c r="P272" s="394"/>
      <c r="Q272" s="394"/>
      <c r="R272" s="435"/>
      <c r="S272" s="430">
        <f t="shared" si="59"/>
        <v>17</v>
      </c>
      <c r="U272" s="8"/>
    </row>
    <row r="273" spans="2:21" ht="19.5" thickBot="1">
      <c r="B273" s="95" t="s">
        <v>257</v>
      </c>
      <c r="C273" s="439">
        <v>50</v>
      </c>
      <c r="D273" s="440">
        <v>67</v>
      </c>
      <c r="E273" s="440">
        <v>92</v>
      </c>
      <c r="F273" s="440">
        <v>94</v>
      </c>
      <c r="G273" s="441">
        <v>73</v>
      </c>
      <c r="H273" s="442">
        <v>67</v>
      </c>
      <c r="I273" s="364">
        <f t="shared" si="58"/>
        <v>443</v>
      </c>
      <c r="J273" s="394"/>
      <c r="K273" s="394"/>
      <c r="L273" s="394"/>
      <c r="M273" s="394"/>
      <c r="N273" s="434"/>
      <c r="O273" s="394"/>
      <c r="P273" s="394" t="s">
        <v>254</v>
      </c>
      <c r="Q273" s="394"/>
      <c r="R273" s="435"/>
      <c r="S273" s="430">
        <f t="shared" si="59"/>
        <v>443</v>
      </c>
      <c r="U273" s="8"/>
    </row>
    <row r="274" spans="2:21" ht="19.5" thickBot="1">
      <c r="B274" s="171" t="s">
        <v>133</v>
      </c>
      <c r="C274" s="433">
        <v>0</v>
      </c>
      <c r="D274" s="394">
        <v>0</v>
      </c>
      <c r="E274" s="394">
        <v>0</v>
      </c>
      <c r="F274" s="394">
        <v>0</v>
      </c>
      <c r="G274" s="394">
        <v>0</v>
      </c>
      <c r="H274" s="443">
        <v>0</v>
      </c>
      <c r="I274" s="444"/>
      <c r="J274" s="445">
        <v>228</v>
      </c>
      <c r="K274" s="446">
        <v>176</v>
      </c>
      <c r="L274" s="446">
        <v>115</v>
      </c>
      <c r="M274" s="447">
        <v>162</v>
      </c>
      <c r="N274" s="412">
        <f t="shared" ref="N274:N279" si="60">M274+L274+K274+J274</f>
        <v>681</v>
      </c>
      <c r="O274" s="394">
        <v>0</v>
      </c>
      <c r="P274" s="394">
        <v>0</v>
      </c>
      <c r="Q274" s="394">
        <v>0</v>
      </c>
      <c r="R274" s="435"/>
      <c r="S274" s="430">
        <f t="shared" ref="S274:S279" si="61">N274</f>
        <v>681</v>
      </c>
    </row>
    <row r="275" spans="2:21" ht="19.5" thickBot="1">
      <c r="B275" s="173" t="s">
        <v>134</v>
      </c>
      <c r="C275" s="433">
        <v>0</v>
      </c>
      <c r="D275" s="394">
        <v>0</v>
      </c>
      <c r="E275" s="394">
        <v>0</v>
      </c>
      <c r="F275" s="394">
        <v>0</v>
      </c>
      <c r="G275" s="394">
        <v>0</v>
      </c>
      <c r="H275" s="443"/>
      <c r="I275" s="448"/>
      <c r="J275" s="449">
        <v>318</v>
      </c>
      <c r="K275" s="450">
        <v>243</v>
      </c>
      <c r="L275" s="450">
        <v>158</v>
      </c>
      <c r="M275" s="451">
        <v>174</v>
      </c>
      <c r="N275" s="412">
        <f t="shared" si="60"/>
        <v>893</v>
      </c>
      <c r="O275" s="394">
        <v>0</v>
      </c>
      <c r="P275" s="394">
        <v>0</v>
      </c>
      <c r="Q275" s="394">
        <v>0</v>
      </c>
      <c r="R275" s="435"/>
      <c r="S275" s="430">
        <f t="shared" si="61"/>
        <v>893</v>
      </c>
    </row>
    <row r="276" spans="2:21" ht="19.5" thickBot="1">
      <c r="B276" s="173" t="s">
        <v>135</v>
      </c>
      <c r="C276" s="433">
        <v>0</v>
      </c>
      <c r="D276" s="394">
        <v>0</v>
      </c>
      <c r="E276" s="394">
        <v>0</v>
      </c>
      <c r="F276" s="394">
        <v>0</v>
      </c>
      <c r="G276" s="394">
        <v>0</v>
      </c>
      <c r="H276" s="443"/>
      <c r="I276" s="448"/>
      <c r="J276" s="449">
        <v>140</v>
      </c>
      <c r="K276" s="450">
        <v>110</v>
      </c>
      <c r="L276" s="450">
        <v>123</v>
      </c>
      <c r="M276" s="451">
        <v>118</v>
      </c>
      <c r="N276" s="412">
        <f t="shared" si="60"/>
        <v>491</v>
      </c>
      <c r="O276" s="394">
        <v>0</v>
      </c>
      <c r="P276" s="394">
        <v>0</v>
      </c>
      <c r="Q276" s="394">
        <v>0</v>
      </c>
      <c r="R276" s="435"/>
      <c r="S276" s="430">
        <f t="shared" si="61"/>
        <v>491</v>
      </c>
    </row>
    <row r="277" spans="2:21" ht="19.5" thickBot="1">
      <c r="B277" s="173" t="s">
        <v>136</v>
      </c>
      <c r="C277" s="433">
        <v>0</v>
      </c>
      <c r="D277" s="394">
        <v>0</v>
      </c>
      <c r="E277" s="394"/>
      <c r="F277" s="394">
        <v>0</v>
      </c>
      <c r="G277" s="394">
        <v>0</v>
      </c>
      <c r="H277" s="443"/>
      <c r="I277" s="448"/>
      <c r="J277" s="449">
        <v>247</v>
      </c>
      <c r="K277" s="450">
        <v>123</v>
      </c>
      <c r="L277" s="450">
        <v>96</v>
      </c>
      <c r="M277" s="451">
        <v>115</v>
      </c>
      <c r="N277" s="412">
        <f t="shared" si="60"/>
        <v>581</v>
      </c>
      <c r="O277" s="394">
        <v>0</v>
      </c>
      <c r="P277" s="394">
        <v>0</v>
      </c>
      <c r="Q277" s="394">
        <v>0</v>
      </c>
      <c r="R277" s="435"/>
      <c r="S277" s="430">
        <f t="shared" si="61"/>
        <v>581</v>
      </c>
    </row>
    <row r="278" spans="2:21" ht="19.5" thickBot="1">
      <c r="B278" s="173" t="s">
        <v>258</v>
      </c>
      <c r="C278" s="433"/>
      <c r="D278" s="394"/>
      <c r="E278" s="394"/>
      <c r="F278" s="394"/>
      <c r="G278" s="394"/>
      <c r="H278" s="443"/>
      <c r="I278" s="448"/>
      <c r="J278" s="452">
        <v>154</v>
      </c>
      <c r="K278" s="453">
        <v>120</v>
      </c>
      <c r="L278" s="453">
        <v>62</v>
      </c>
      <c r="M278" s="454">
        <v>82</v>
      </c>
      <c r="N278" s="403">
        <f t="shared" si="60"/>
        <v>418</v>
      </c>
      <c r="O278" s="455"/>
      <c r="P278" s="455"/>
      <c r="Q278" s="455"/>
      <c r="R278" s="435"/>
      <c r="S278" s="430">
        <f t="shared" si="61"/>
        <v>418</v>
      </c>
    </row>
    <row r="279" spans="2:21" s="37" customFormat="1" ht="19.5" thickBot="1">
      <c r="B279" s="173" t="s">
        <v>259</v>
      </c>
      <c r="C279" s="433"/>
      <c r="D279" s="394"/>
      <c r="E279" s="394"/>
      <c r="F279" s="394"/>
      <c r="G279" s="394"/>
      <c r="H279" s="443"/>
      <c r="I279" s="448"/>
      <c r="J279" s="450">
        <v>160</v>
      </c>
      <c r="K279" s="450">
        <v>105</v>
      </c>
      <c r="L279" s="450">
        <v>94</v>
      </c>
      <c r="M279" s="450">
        <v>60</v>
      </c>
      <c r="N279" s="456">
        <f t="shared" si="60"/>
        <v>419</v>
      </c>
      <c r="O279" s="455"/>
      <c r="P279" s="455"/>
      <c r="Q279" s="455"/>
      <c r="R279" s="435"/>
      <c r="S279" s="430">
        <f t="shared" si="61"/>
        <v>419</v>
      </c>
    </row>
    <row r="280" spans="2:21" ht="18.75">
      <c r="B280" s="174" t="s">
        <v>137</v>
      </c>
      <c r="C280" s="457">
        <v>0</v>
      </c>
      <c r="D280" s="443"/>
      <c r="E280" s="443"/>
      <c r="F280" s="443"/>
      <c r="G280" s="443"/>
      <c r="H280" s="443"/>
      <c r="I280" s="458"/>
      <c r="J280" s="443">
        <v>160</v>
      </c>
      <c r="K280" s="443"/>
      <c r="L280" s="443"/>
      <c r="M280" s="443"/>
      <c r="N280" s="459"/>
      <c r="O280" s="460">
        <v>161</v>
      </c>
      <c r="P280" s="461">
        <v>122</v>
      </c>
      <c r="Q280" s="462">
        <v>144</v>
      </c>
      <c r="R280" s="463">
        <f>Q280+P280+O280</f>
        <v>427</v>
      </c>
      <c r="S280" s="430">
        <f>R280</f>
        <v>427</v>
      </c>
    </row>
    <row r="281" spans="2:21" ht="18.75">
      <c r="B281" s="174" t="s">
        <v>138</v>
      </c>
      <c r="C281" s="457"/>
      <c r="D281" s="443"/>
      <c r="E281" s="443"/>
      <c r="F281" s="443"/>
      <c r="G281" s="443"/>
      <c r="H281" s="443"/>
      <c r="I281" s="458"/>
      <c r="J281" s="443"/>
      <c r="K281" s="443"/>
      <c r="L281" s="443"/>
      <c r="M281" s="443"/>
      <c r="N281" s="464"/>
      <c r="O281" s="465">
        <v>113</v>
      </c>
      <c r="P281" s="466">
        <v>104</v>
      </c>
      <c r="Q281" s="467">
        <v>135</v>
      </c>
      <c r="R281" s="468">
        <f>Q281+P281+O281</f>
        <v>352</v>
      </c>
      <c r="S281" s="430">
        <f>R281</f>
        <v>352</v>
      </c>
    </row>
    <row r="282" spans="2:21" ht="19.5" thickBot="1">
      <c r="B282" s="205" t="s">
        <v>139</v>
      </c>
      <c r="C282" s="469"/>
      <c r="D282" s="470"/>
      <c r="E282" s="470"/>
      <c r="F282" s="470"/>
      <c r="G282" s="470"/>
      <c r="H282" s="470"/>
      <c r="I282" s="471"/>
      <c r="J282" s="472"/>
      <c r="K282" s="472"/>
      <c r="L282" s="472"/>
      <c r="M282" s="472"/>
      <c r="N282" s="473"/>
      <c r="O282" s="474">
        <v>135</v>
      </c>
      <c r="P282" s="475">
        <v>60</v>
      </c>
      <c r="Q282" s="476">
        <v>67</v>
      </c>
      <c r="R282" s="477">
        <f>Q282+P282+O282</f>
        <v>262</v>
      </c>
      <c r="S282" s="430">
        <f>R282</f>
        <v>262</v>
      </c>
    </row>
    <row r="283" spans="2:21" ht="19.5" thickBot="1">
      <c r="B283" s="135" t="s">
        <v>23</v>
      </c>
      <c r="C283" s="478">
        <f>C247+C248+C249+C250+C251+C252+C253+C254+C255+C256+C257+C258+C259+C260+C261+C262+C263+C264+C265+C266+C267+C268+C269+C270+C271+C272+C273</f>
        <v>786</v>
      </c>
      <c r="D283" s="478">
        <f t="shared" ref="D283:H283" si="62">D247+D248+D249+D250+D251+D252+D253+D254+D255+D256+D257+D258+D259+D260+D261+D262+D263+D264+D265+D266+D267+D268+D269+D270+D271+D272+D273</f>
        <v>1036</v>
      </c>
      <c r="E283" s="478">
        <f t="shared" si="62"/>
        <v>1234</v>
      </c>
      <c r="F283" s="478">
        <f t="shared" si="62"/>
        <v>1167</v>
      </c>
      <c r="G283" s="478">
        <f t="shared" si="62"/>
        <v>1073</v>
      </c>
      <c r="H283" s="478">
        <f t="shared" si="62"/>
        <v>919</v>
      </c>
      <c r="I283" s="371">
        <f>I247+I248+I249+I250+I251+I252+I253+I254+I255+I256+I257+I258+I259+I260+I261+I262+I263+I264+I265+I266+I267+I268+I269+I270+I271+I272+I273</f>
        <v>6215</v>
      </c>
      <c r="J283" s="479">
        <f>J274+J275+J276+J277+J278</f>
        <v>1087</v>
      </c>
      <c r="K283" s="479">
        <f t="shared" ref="K283:M283" si="63">K274+K275+K276+K277+K278</f>
        <v>772</v>
      </c>
      <c r="L283" s="479">
        <f t="shared" si="63"/>
        <v>554</v>
      </c>
      <c r="M283" s="479">
        <f t="shared" si="63"/>
        <v>651</v>
      </c>
      <c r="N283" s="480">
        <f>N274+N275+N276+N277+N278</f>
        <v>3064</v>
      </c>
      <c r="O283" s="422">
        <f>O280+O281+O282</f>
        <v>409</v>
      </c>
      <c r="P283" s="422">
        <f t="shared" ref="P283:Q283" si="64">P280+P281+P282</f>
        <v>286</v>
      </c>
      <c r="Q283" s="422">
        <f t="shared" si="64"/>
        <v>346</v>
      </c>
      <c r="R283" s="481">
        <f>R280+R281+R282</f>
        <v>1041</v>
      </c>
      <c r="S283" s="430">
        <f>R283+N283+I283</f>
        <v>10320</v>
      </c>
    </row>
    <row r="284" spans="2:21" ht="15.75">
      <c r="B284" s="863"/>
      <c r="C284" s="863"/>
      <c r="D284" s="863"/>
      <c r="E284" s="863"/>
      <c r="F284" s="863"/>
      <c r="G284" s="863"/>
      <c r="H284" s="863"/>
      <c r="I284" s="863"/>
      <c r="J284" s="863"/>
      <c r="K284" s="863"/>
      <c r="L284" s="863"/>
      <c r="M284" s="863"/>
      <c r="N284" s="863"/>
      <c r="O284" s="863"/>
      <c r="P284" s="863"/>
      <c r="Q284" s="863"/>
      <c r="R284" s="863"/>
      <c r="S284" s="863"/>
    </row>
    <row r="285" spans="2:21" ht="15.75">
      <c r="B285" s="863" t="s">
        <v>211</v>
      </c>
      <c r="C285" s="863"/>
      <c r="D285" s="863"/>
      <c r="E285" s="863"/>
      <c r="F285" s="863"/>
      <c r="G285" s="863"/>
      <c r="H285" s="863"/>
      <c r="I285" s="863"/>
      <c r="J285" s="863"/>
      <c r="K285" s="863"/>
      <c r="L285" s="863"/>
      <c r="M285" s="863"/>
      <c r="N285" s="863"/>
      <c r="O285" s="863"/>
      <c r="P285" s="863"/>
      <c r="Q285" s="863"/>
      <c r="R285" s="863"/>
      <c r="S285" s="863"/>
    </row>
    <row r="286" spans="2:21" ht="15.75">
      <c r="B286" s="863" t="s">
        <v>219</v>
      </c>
      <c r="C286" s="863"/>
      <c r="D286" s="863"/>
      <c r="E286" s="863"/>
      <c r="F286" s="863"/>
      <c r="G286" s="863"/>
      <c r="H286" s="863"/>
      <c r="I286" s="863"/>
      <c r="J286" s="863"/>
      <c r="K286" s="863"/>
      <c r="L286" s="863"/>
      <c r="M286" s="863"/>
      <c r="N286" s="863"/>
      <c r="O286" s="863"/>
      <c r="P286" s="863"/>
      <c r="Q286" s="863"/>
      <c r="R286" s="863"/>
      <c r="S286" s="863"/>
    </row>
    <row r="287" spans="2:21" ht="16.5" thickBot="1">
      <c r="B287" s="104" t="s">
        <v>5</v>
      </c>
      <c r="C287" s="105"/>
      <c r="D287" s="105"/>
      <c r="E287" s="105"/>
      <c r="F287" s="865" t="s">
        <v>297</v>
      </c>
      <c r="G287" s="865"/>
      <c r="H287" s="865"/>
      <c r="I287" s="865"/>
      <c r="J287" s="865"/>
      <c r="K287" s="865"/>
      <c r="L287" s="865"/>
      <c r="M287" s="865"/>
      <c r="N287" s="865"/>
      <c r="O287" s="865"/>
      <c r="P287" s="106"/>
      <c r="Q287" s="106"/>
      <c r="R287" s="106"/>
      <c r="S287" s="56"/>
    </row>
    <row r="288" spans="2:21" ht="15.75">
      <c r="B288" s="207" t="s">
        <v>3</v>
      </c>
      <c r="C288" s="107" t="s">
        <v>6</v>
      </c>
      <c r="D288" s="108"/>
      <c r="E288" s="108"/>
      <c r="F288" s="108"/>
      <c r="G288" s="108"/>
      <c r="H288" s="108"/>
      <c r="I288" s="109"/>
      <c r="J288" s="208" t="s">
        <v>7</v>
      </c>
      <c r="K288" s="208"/>
      <c r="L288" s="208"/>
      <c r="M288" s="208"/>
      <c r="N288" s="209"/>
      <c r="O288" s="210" t="s">
        <v>8</v>
      </c>
      <c r="P288" s="211"/>
      <c r="Q288" s="211"/>
      <c r="R288" s="212"/>
      <c r="S288" s="213" t="s">
        <v>0</v>
      </c>
    </row>
    <row r="289" spans="2:21" ht="16.5" thickBot="1">
      <c r="B289" s="214"/>
      <c r="C289" s="110"/>
      <c r="D289" s="111"/>
      <c r="E289" s="111"/>
      <c r="F289" s="111"/>
      <c r="G289" s="111"/>
      <c r="H289" s="111"/>
      <c r="I289" s="112"/>
      <c r="J289" s="215"/>
      <c r="K289" s="215"/>
      <c r="L289" s="215"/>
      <c r="M289" s="215"/>
      <c r="N289" s="216"/>
      <c r="O289" s="217"/>
      <c r="P289" s="218"/>
      <c r="Q289" s="218"/>
      <c r="R289" s="219"/>
      <c r="S289" s="220"/>
    </row>
    <row r="290" spans="2:21" ht="16.5" thickBot="1">
      <c r="B290" s="221"/>
      <c r="C290" s="222" t="s">
        <v>10</v>
      </c>
      <c r="D290" s="223" t="s">
        <v>11</v>
      </c>
      <c r="E290" s="223" t="s">
        <v>12</v>
      </c>
      <c r="F290" s="223" t="s">
        <v>13</v>
      </c>
      <c r="G290" s="223" t="s">
        <v>14</v>
      </c>
      <c r="H290" s="224" t="s">
        <v>15</v>
      </c>
      <c r="I290" s="91" t="s">
        <v>16</v>
      </c>
      <c r="J290" s="225" t="s">
        <v>11</v>
      </c>
      <c r="K290" s="226" t="s">
        <v>12</v>
      </c>
      <c r="L290" s="226" t="s">
        <v>13</v>
      </c>
      <c r="M290" s="68" t="s">
        <v>14</v>
      </c>
      <c r="N290" s="227" t="s">
        <v>16</v>
      </c>
      <c r="O290" s="199" t="s">
        <v>11</v>
      </c>
      <c r="P290" s="201" t="s">
        <v>12</v>
      </c>
      <c r="Q290" s="200" t="s">
        <v>13</v>
      </c>
      <c r="R290" s="228" t="s">
        <v>16</v>
      </c>
      <c r="S290" s="229"/>
      <c r="U290" s="14" t="s">
        <v>220</v>
      </c>
    </row>
    <row r="291" spans="2:21" ht="18.75">
      <c r="B291" s="183" t="s">
        <v>140</v>
      </c>
      <c r="C291" s="379">
        <v>39</v>
      </c>
      <c r="D291" s="380">
        <v>59</v>
      </c>
      <c r="E291" s="380">
        <v>100</v>
      </c>
      <c r="F291" s="380">
        <v>80</v>
      </c>
      <c r="G291" s="380">
        <v>94</v>
      </c>
      <c r="H291" s="381">
        <v>56</v>
      </c>
      <c r="I291" s="387">
        <f>H291+G291+F291+E291+D291+C291</f>
        <v>428</v>
      </c>
      <c r="J291" s="388">
        <v>0</v>
      </c>
      <c r="K291" s="388"/>
      <c r="L291" s="388"/>
      <c r="M291" s="388"/>
      <c r="N291" s="389"/>
      <c r="O291" s="390">
        <v>0</v>
      </c>
      <c r="P291" s="390">
        <v>0</v>
      </c>
      <c r="Q291" s="390">
        <v>0</v>
      </c>
      <c r="R291" s="391"/>
      <c r="S291" s="76">
        <f>I291</f>
        <v>428</v>
      </c>
      <c r="U291" s="8"/>
    </row>
    <row r="292" spans="2:21" ht="18.75">
      <c r="B292" s="186" t="s">
        <v>141</v>
      </c>
      <c r="C292" s="379">
        <v>50</v>
      </c>
      <c r="D292" s="380">
        <v>104</v>
      </c>
      <c r="E292" s="380">
        <v>146</v>
      </c>
      <c r="F292" s="380">
        <v>108</v>
      </c>
      <c r="G292" s="380">
        <v>96</v>
      </c>
      <c r="H292" s="381">
        <v>104</v>
      </c>
      <c r="I292" s="387">
        <f t="shared" ref="I292:I315" si="65">H292+G292+F292+E292+D292+C292</f>
        <v>608</v>
      </c>
      <c r="J292" s="392"/>
      <c r="K292" s="392"/>
      <c r="L292" s="392"/>
      <c r="M292" s="392"/>
      <c r="N292" s="393"/>
      <c r="O292" s="394">
        <v>0</v>
      </c>
      <c r="P292" s="394">
        <v>0</v>
      </c>
      <c r="Q292" s="394">
        <v>0</v>
      </c>
      <c r="R292" s="395"/>
      <c r="S292" s="76">
        <f t="shared" ref="S292:S311" si="66">I292</f>
        <v>608</v>
      </c>
      <c r="U292" s="35"/>
    </row>
    <row r="293" spans="2:21" ht="18.75">
      <c r="B293" s="186" t="s">
        <v>142</v>
      </c>
      <c r="C293" s="379">
        <v>56</v>
      </c>
      <c r="D293" s="380">
        <v>74</v>
      </c>
      <c r="E293" s="380">
        <v>93</v>
      </c>
      <c r="F293" s="380">
        <v>104</v>
      </c>
      <c r="G293" s="380">
        <v>78</v>
      </c>
      <c r="H293" s="381">
        <v>67</v>
      </c>
      <c r="I293" s="387">
        <f t="shared" si="65"/>
        <v>472</v>
      </c>
      <c r="J293" s="392"/>
      <c r="K293" s="392"/>
      <c r="L293" s="392"/>
      <c r="M293" s="392"/>
      <c r="N293" s="393"/>
      <c r="O293" s="394">
        <v>0</v>
      </c>
      <c r="P293" s="394">
        <v>0</v>
      </c>
      <c r="Q293" s="394">
        <v>0</v>
      </c>
      <c r="R293" s="395"/>
      <c r="S293" s="76">
        <f t="shared" si="66"/>
        <v>472</v>
      </c>
      <c r="U293" s="35"/>
    </row>
    <row r="294" spans="2:21" ht="18.75">
      <c r="B294" s="189" t="s">
        <v>143</v>
      </c>
      <c r="C294" s="379">
        <v>28</v>
      </c>
      <c r="D294" s="380">
        <v>51</v>
      </c>
      <c r="E294" s="380">
        <v>53</v>
      </c>
      <c r="F294" s="380">
        <v>61</v>
      </c>
      <c r="G294" s="380">
        <v>53</v>
      </c>
      <c r="H294" s="381">
        <v>54</v>
      </c>
      <c r="I294" s="387">
        <f t="shared" si="65"/>
        <v>300</v>
      </c>
      <c r="J294" s="392"/>
      <c r="K294" s="392"/>
      <c r="L294" s="392"/>
      <c r="M294" s="392"/>
      <c r="N294" s="393"/>
      <c r="O294" s="394">
        <v>0</v>
      </c>
      <c r="P294" s="394">
        <v>0</v>
      </c>
      <c r="Q294" s="394">
        <v>0</v>
      </c>
      <c r="R294" s="395"/>
      <c r="S294" s="76">
        <f t="shared" si="66"/>
        <v>300</v>
      </c>
      <c r="U294" s="35"/>
    </row>
    <row r="295" spans="2:21" ht="18.75">
      <c r="B295" s="186" t="s">
        <v>144</v>
      </c>
      <c r="C295" s="379">
        <v>13</v>
      </c>
      <c r="D295" s="380">
        <v>17</v>
      </c>
      <c r="E295" s="380">
        <v>29</v>
      </c>
      <c r="F295" s="380">
        <v>22</v>
      </c>
      <c r="G295" s="380">
        <v>31</v>
      </c>
      <c r="H295" s="381">
        <v>17</v>
      </c>
      <c r="I295" s="387">
        <f t="shared" si="65"/>
        <v>129</v>
      </c>
      <c r="J295" s="392"/>
      <c r="K295" s="392"/>
      <c r="L295" s="392"/>
      <c r="M295" s="392"/>
      <c r="N295" s="393"/>
      <c r="O295" s="394">
        <v>0</v>
      </c>
      <c r="P295" s="394">
        <v>0</v>
      </c>
      <c r="Q295" s="394">
        <v>0</v>
      </c>
      <c r="R295" s="395"/>
      <c r="S295" s="76">
        <f t="shared" si="66"/>
        <v>129</v>
      </c>
      <c r="U295" s="35"/>
    </row>
    <row r="296" spans="2:21" ht="18.75">
      <c r="B296" s="186" t="s">
        <v>145</v>
      </c>
      <c r="C296" s="379">
        <v>50</v>
      </c>
      <c r="D296" s="380">
        <v>72</v>
      </c>
      <c r="E296" s="380">
        <v>75</v>
      </c>
      <c r="F296" s="380">
        <v>70</v>
      </c>
      <c r="G296" s="380">
        <v>56</v>
      </c>
      <c r="H296" s="381">
        <v>55</v>
      </c>
      <c r="I296" s="387">
        <f t="shared" si="65"/>
        <v>378</v>
      </c>
      <c r="J296" s="392"/>
      <c r="K296" s="392"/>
      <c r="L296" s="392"/>
      <c r="M296" s="392"/>
      <c r="N296" s="393"/>
      <c r="O296" s="394">
        <v>0</v>
      </c>
      <c r="P296" s="394">
        <v>0</v>
      </c>
      <c r="Q296" s="394">
        <v>0</v>
      </c>
      <c r="R296" s="395"/>
      <c r="S296" s="76">
        <f t="shared" si="66"/>
        <v>378</v>
      </c>
      <c r="U296" s="35"/>
    </row>
    <row r="297" spans="2:21" ht="18.75">
      <c r="B297" s="189" t="s">
        <v>146</v>
      </c>
      <c r="C297" s="379">
        <v>25</v>
      </c>
      <c r="D297" s="380">
        <v>52</v>
      </c>
      <c r="E297" s="380">
        <v>53</v>
      </c>
      <c r="F297" s="380">
        <v>53</v>
      </c>
      <c r="G297" s="380">
        <v>62</v>
      </c>
      <c r="H297" s="381">
        <v>43</v>
      </c>
      <c r="I297" s="387">
        <f t="shared" si="65"/>
        <v>288</v>
      </c>
      <c r="J297" s="392"/>
      <c r="K297" s="392"/>
      <c r="L297" s="392"/>
      <c r="M297" s="392"/>
      <c r="N297" s="393"/>
      <c r="O297" s="394">
        <v>0</v>
      </c>
      <c r="P297" s="394">
        <v>0</v>
      </c>
      <c r="Q297" s="394">
        <v>0</v>
      </c>
      <c r="R297" s="395"/>
      <c r="S297" s="76">
        <f t="shared" si="66"/>
        <v>288</v>
      </c>
      <c r="U297" s="35"/>
    </row>
    <row r="298" spans="2:21" ht="18.75">
      <c r="B298" s="186" t="s">
        <v>147</v>
      </c>
      <c r="C298" s="379">
        <v>49</v>
      </c>
      <c r="D298" s="380">
        <v>45</v>
      </c>
      <c r="E298" s="380">
        <v>54</v>
      </c>
      <c r="F298" s="380">
        <v>44</v>
      </c>
      <c r="G298" s="380">
        <v>44</v>
      </c>
      <c r="H298" s="381">
        <v>47</v>
      </c>
      <c r="I298" s="387">
        <f t="shared" si="65"/>
        <v>283</v>
      </c>
      <c r="J298" s="392"/>
      <c r="K298" s="392"/>
      <c r="L298" s="392"/>
      <c r="M298" s="392"/>
      <c r="N298" s="393"/>
      <c r="O298" s="394">
        <v>0</v>
      </c>
      <c r="P298" s="394">
        <v>0</v>
      </c>
      <c r="Q298" s="394">
        <v>0</v>
      </c>
      <c r="R298" s="395"/>
      <c r="S298" s="76">
        <f t="shared" si="66"/>
        <v>283</v>
      </c>
      <c r="U298" s="35"/>
    </row>
    <row r="299" spans="2:21" ht="18.75">
      <c r="B299" s="186" t="s">
        <v>148</v>
      </c>
      <c r="C299" s="379">
        <v>18</v>
      </c>
      <c r="D299" s="380">
        <v>44</v>
      </c>
      <c r="E299" s="380">
        <v>37</v>
      </c>
      <c r="F299" s="380">
        <v>32</v>
      </c>
      <c r="G299" s="380">
        <v>43</v>
      </c>
      <c r="H299" s="381">
        <v>24</v>
      </c>
      <c r="I299" s="387">
        <f t="shared" si="65"/>
        <v>198</v>
      </c>
      <c r="J299" s="392"/>
      <c r="K299" s="392"/>
      <c r="L299" s="392"/>
      <c r="M299" s="392"/>
      <c r="N299" s="393"/>
      <c r="O299" s="394">
        <v>0</v>
      </c>
      <c r="P299" s="394">
        <v>0</v>
      </c>
      <c r="Q299" s="394">
        <v>0</v>
      </c>
      <c r="R299" s="395"/>
      <c r="S299" s="76">
        <f t="shared" si="66"/>
        <v>198</v>
      </c>
      <c r="U299" s="35"/>
    </row>
    <row r="300" spans="2:21" ht="18.75">
      <c r="B300" s="186" t="s">
        <v>149</v>
      </c>
      <c r="C300" s="379">
        <v>0</v>
      </c>
      <c r="D300" s="380">
        <v>22</v>
      </c>
      <c r="E300" s="380">
        <v>33</v>
      </c>
      <c r="F300" s="380">
        <v>25</v>
      </c>
      <c r="G300" s="380">
        <v>29</v>
      </c>
      <c r="H300" s="381">
        <v>19</v>
      </c>
      <c r="I300" s="387">
        <f t="shared" si="65"/>
        <v>128</v>
      </c>
      <c r="J300" s="392"/>
      <c r="K300" s="392"/>
      <c r="L300" s="392"/>
      <c r="M300" s="392"/>
      <c r="N300" s="393"/>
      <c r="O300" s="394">
        <v>0</v>
      </c>
      <c r="P300" s="394">
        <v>0</v>
      </c>
      <c r="Q300" s="394">
        <v>0</v>
      </c>
      <c r="R300" s="395"/>
      <c r="S300" s="76">
        <f t="shared" si="66"/>
        <v>128</v>
      </c>
      <c r="U300" s="35"/>
    </row>
    <row r="301" spans="2:21" ht="18.75">
      <c r="B301" s="186" t="s">
        <v>232</v>
      </c>
      <c r="C301" s="379">
        <v>0</v>
      </c>
      <c r="D301" s="380">
        <v>23</v>
      </c>
      <c r="E301" s="380">
        <v>20</v>
      </c>
      <c r="F301" s="380">
        <v>24</v>
      </c>
      <c r="G301" s="380">
        <v>21</v>
      </c>
      <c r="H301" s="381">
        <v>27</v>
      </c>
      <c r="I301" s="387">
        <f t="shared" si="65"/>
        <v>115</v>
      </c>
      <c r="J301" s="392"/>
      <c r="K301" s="392"/>
      <c r="L301" s="392"/>
      <c r="M301" s="392"/>
      <c r="N301" s="393"/>
      <c r="O301" s="394">
        <v>0</v>
      </c>
      <c r="P301" s="394">
        <v>0</v>
      </c>
      <c r="Q301" s="394">
        <v>0</v>
      </c>
      <c r="R301" s="395"/>
      <c r="S301" s="76">
        <f t="shared" si="66"/>
        <v>115</v>
      </c>
      <c r="U301" s="35"/>
    </row>
    <row r="302" spans="2:21" ht="18.75">
      <c r="B302" s="186" t="s">
        <v>150</v>
      </c>
      <c r="C302" s="379">
        <v>0</v>
      </c>
      <c r="D302" s="380">
        <v>15</v>
      </c>
      <c r="E302" s="380">
        <v>25</v>
      </c>
      <c r="F302" s="380">
        <v>25</v>
      </c>
      <c r="G302" s="380">
        <v>25</v>
      </c>
      <c r="H302" s="381">
        <v>24</v>
      </c>
      <c r="I302" s="387">
        <f t="shared" si="65"/>
        <v>114</v>
      </c>
      <c r="J302" s="392"/>
      <c r="K302" s="392"/>
      <c r="L302" s="392"/>
      <c r="M302" s="392"/>
      <c r="N302" s="393"/>
      <c r="O302" s="394"/>
      <c r="P302" s="394"/>
      <c r="Q302" s="394"/>
      <c r="R302" s="395"/>
      <c r="S302" s="76">
        <f t="shared" si="66"/>
        <v>114</v>
      </c>
      <c r="U302" s="35"/>
    </row>
    <row r="303" spans="2:21" ht="18.75">
      <c r="B303" s="186" t="s">
        <v>151</v>
      </c>
      <c r="C303" s="379">
        <v>44</v>
      </c>
      <c r="D303" s="380">
        <v>59</v>
      </c>
      <c r="E303" s="380">
        <v>67</v>
      </c>
      <c r="F303" s="380">
        <v>60</v>
      </c>
      <c r="G303" s="380">
        <v>57</v>
      </c>
      <c r="H303" s="381">
        <v>55</v>
      </c>
      <c r="I303" s="387">
        <f t="shared" si="65"/>
        <v>342</v>
      </c>
      <c r="J303" s="392"/>
      <c r="K303" s="392"/>
      <c r="L303" s="392"/>
      <c r="M303" s="392"/>
      <c r="N303" s="393"/>
      <c r="O303" s="394"/>
      <c r="P303" s="394"/>
      <c r="Q303" s="394"/>
      <c r="R303" s="395"/>
      <c r="S303" s="76">
        <f t="shared" si="66"/>
        <v>342</v>
      </c>
      <c r="U303" s="35"/>
    </row>
    <row r="304" spans="2:21" ht="18.75">
      <c r="B304" s="186" t="s">
        <v>253</v>
      </c>
      <c r="C304" s="379">
        <v>0</v>
      </c>
      <c r="D304" s="380">
        <v>9</v>
      </c>
      <c r="E304" s="380">
        <v>6</v>
      </c>
      <c r="F304" s="380">
        <v>1</v>
      </c>
      <c r="G304" s="380">
        <v>6</v>
      </c>
      <c r="H304" s="381">
        <v>4</v>
      </c>
      <c r="I304" s="387">
        <f t="shared" si="65"/>
        <v>26</v>
      </c>
      <c r="J304" s="392"/>
      <c r="K304" s="392"/>
      <c r="L304" s="392"/>
      <c r="M304" s="392" t="s">
        <v>266</v>
      </c>
      <c r="N304" s="393"/>
      <c r="O304" s="394">
        <v>0</v>
      </c>
      <c r="P304" s="394">
        <v>0</v>
      </c>
      <c r="Q304" s="394">
        <v>0</v>
      </c>
      <c r="R304" s="395"/>
      <c r="S304" s="76">
        <f t="shared" si="66"/>
        <v>26</v>
      </c>
      <c r="U304" s="35"/>
    </row>
    <row r="305" spans="2:21" ht="18.75">
      <c r="B305" s="186" t="s">
        <v>261</v>
      </c>
      <c r="C305" s="379">
        <v>0</v>
      </c>
      <c r="D305" s="380">
        <v>7</v>
      </c>
      <c r="E305" s="380">
        <v>3</v>
      </c>
      <c r="F305" s="380">
        <v>3</v>
      </c>
      <c r="G305" s="380">
        <v>5</v>
      </c>
      <c r="H305" s="381">
        <v>0</v>
      </c>
      <c r="I305" s="387">
        <f t="shared" si="65"/>
        <v>18</v>
      </c>
      <c r="J305" s="392"/>
      <c r="K305" s="392"/>
      <c r="L305" s="392"/>
      <c r="M305" s="392"/>
      <c r="N305" s="393"/>
      <c r="O305" s="394"/>
      <c r="P305" s="394"/>
      <c r="Q305" s="394"/>
      <c r="R305" s="395"/>
      <c r="S305" s="76">
        <f t="shared" si="66"/>
        <v>18</v>
      </c>
      <c r="U305" s="35"/>
    </row>
    <row r="306" spans="2:21" ht="18.75">
      <c r="B306" s="186" t="s">
        <v>233</v>
      </c>
      <c r="C306" s="379">
        <v>0</v>
      </c>
      <c r="D306" s="380">
        <v>6</v>
      </c>
      <c r="E306" s="380">
        <v>9</v>
      </c>
      <c r="F306" s="380">
        <v>8</v>
      </c>
      <c r="G306" s="380">
        <v>15</v>
      </c>
      <c r="H306" s="381">
        <v>16</v>
      </c>
      <c r="I306" s="387">
        <f t="shared" si="65"/>
        <v>54</v>
      </c>
      <c r="J306" s="392"/>
      <c r="K306" s="392"/>
      <c r="L306" s="392"/>
      <c r="M306" s="392"/>
      <c r="N306" s="393"/>
      <c r="O306" s="394"/>
      <c r="P306" s="394"/>
      <c r="Q306" s="394"/>
      <c r="R306" s="395"/>
      <c r="S306" s="76">
        <f t="shared" si="66"/>
        <v>54</v>
      </c>
      <c r="U306" s="35"/>
    </row>
    <row r="307" spans="2:21" ht="18.75">
      <c r="B307" s="186" t="s">
        <v>262</v>
      </c>
      <c r="C307" s="379">
        <v>0</v>
      </c>
      <c r="D307" s="380">
        <v>5</v>
      </c>
      <c r="E307" s="380">
        <v>2</v>
      </c>
      <c r="F307" s="380">
        <v>6</v>
      </c>
      <c r="G307" s="380">
        <v>6</v>
      </c>
      <c r="H307" s="381">
        <v>3</v>
      </c>
      <c r="I307" s="387">
        <f t="shared" si="65"/>
        <v>22</v>
      </c>
      <c r="J307" s="392"/>
      <c r="K307" s="392"/>
      <c r="L307" s="392"/>
      <c r="M307" s="392"/>
      <c r="N307" s="393"/>
      <c r="O307" s="394"/>
      <c r="P307" s="394"/>
      <c r="Q307" s="394"/>
      <c r="R307" s="395"/>
      <c r="S307" s="76">
        <f t="shared" si="66"/>
        <v>22</v>
      </c>
      <c r="U307" s="35"/>
    </row>
    <row r="308" spans="2:21" ht="18.75">
      <c r="B308" s="186" t="s">
        <v>234</v>
      </c>
      <c r="C308" s="379">
        <v>0</v>
      </c>
      <c r="D308" s="380">
        <v>5</v>
      </c>
      <c r="E308" s="380">
        <v>1</v>
      </c>
      <c r="F308" s="380">
        <v>2</v>
      </c>
      <c r="G308" s="380">
        <v>3</v>
      </c>
      <c r="H308" s="381">
        <v>6</v>
      </c>
      <c r="I308" s="387">
        <f t="shared" si="65"/>
        <v>17</v>
      </c>
      <c r="J308" s="392"/>
      <c r="K308" s="392"/>
      <c r="L308" s="392"/>
      <c r="M308" s="392"/>
      <c r="N308" s="393"/>
      <c r="O308" s="394"/>
      <c r="P308" s="394"/>
      <c r="Q308" s="394"/>
      <c r="R308" s="395"/>
      <c r="S308" s="76">
        <f t="shared" si="66"/>
        <v>17</v>
      </c>
      <c r="U308" s="35"/>
    </row>
    <row r="309" spans="2:21" ht="18.75">
      <c r="B309" s="186" t="s">
        <v>260</v>
      </c>
      <c r="C309" s="379">
        <v>0</v>
      </c>
      <c r="D309" s="380">
        <v>4</v>
      </c>
      <c r="E309" s="380">
        <v>5</v>
      </c>
      <c r="F309" s="380">
        <v>4</v>
      </c>
      <c r="G309" s="380">
        <v>6</v>
      </c>
      <c r="H309" s="381">
        <v>4</v>
      </c>
      <c r="I309" s="387">
        <f t="shared" si="65"/>
        <v>23</v>
      </c>
      <c r="J309" s="392"/>
      <c r="K309" s="392"/>
      <c r="L309" s="392"/>
      <c r="M309" s="392"/>
      <c r="N309" s="393"/>
      <c r="O309" s="394"/>
      <c r="P309" s="394"/>
      <c r="Q309" s="394"/>
      <c r="R309" s="395"/>
      <c r="S309" s="76">
        <f t="shared" si="66"/>
        <v>23</v>
      </c>
      <c r="U309" s="35"/>
    </row>
    <row r="310" spans="2:21" s="37" customFormat="1" ht="18.75">
      <c r="B310" s="186" t="s">
        <v>263</v>
      </c>
      <c r="C310" s="379">
        <v>0</v>
      </c>
      <c r="D310" s="380">
        <v>10</v>
      </c>
      <c r="E310" s="380">
        <v>2</v>
      </c>
      <c r="F310" s="380">
        <v>7</v>
      </c>
      <c r="G310" s="380">
        <v>5</v>
      </c>
      <c r="H310" s="381">
        <v>0</v>
      </c>
      <c r="I310" s="387">
        <f t="shared" si="65"/>
        <v>24</v>
      </c>
      <c r="J310" s="392"/>
      <c r="K310" s="392"/>
      <c r="L310" s="392"/>
      <c r="M310" s="392"/>
      <c r="N310" s="393"/>
      <c r="O310" s="394"/>
      <c r="P310" s="394"/>
      <c r="Q310" s="394"/>
      <c r="R310" s="395"/>
      <c r="S310" s="76">
        <f t="shared" si="66"/>
        <v>24</v>
      </c>
      <c r="U310" s="35"/>
    </row>
    <row r="311" spans="2:21" s="37" customFormat="1" ht="19.5" thickBot="1">
      <c r="B311" s="186" t="s">
        <v>264</v>
      </c>
      <c r="C311" s="396">
        <v>0</v>
      </c>
      <c r="D311" s="368">
        <v>29</v>
      </c>
      <c r="E311" s="368">
        <v>41</v>
      </c>
      <c r="F311" s="368">
        <v>30</v>
      </c>
      <c r="G311" s="368">
        <v>49</v>
      </c>
      <c r="H311" s="369">
        <v>23</v>
      </c>
      <c r="I311" s="397">
        <f t="shared" si="65"/>
        <v>172</v>
      </c>
      <c r="J311" s="392"/>
      <c r="K311" s="392"/>
      <c r="L311" s="392"/>
      <c r="M311" s="392"/>
      <c r="N311" s="398"/>
      <c r="O311" s="394"/>
      <c r="P311" s="394"/>
      <c r="Q311" s="394"/>
      <c r="R311" s="395"/>
      <c r="S311" s="76">
        <f t="shared" si="66"/>
        <v>172</v>
      </c>
      <c r="U311" s="35"/>
    </row>
    <row r="312" spans="2:21" ht="19.5" thickBot="1">
      <c r="B312" s="173" t="s">
        <v>152</v>
      </c>
      <c r="C312" s="399"/>
      <c r="D312" s="400"/>
      <c r="E312" s="400"/>
      <c r="F312" s="400"/>
      <c r="G312" s="400"/>
      <c r="H312" s="400"/>
      <c r="I312" s="401"/>
      <c r="J312" s="402">
        <v>306</v>
      </c>
      <c r="K312" s="403">
        <v>209</v>
      </c>
      <c r="L312" s="403">
        <v>131</v>
      </c>
      <c r="M312" s="404">
        <v>132</v>
      </c>
      <c r="N312" s="403">
        <f>M312+L312+K312+J312</f>
        <v>778</v>
      </c>
      <c r="O312" s="394">
        <v>0</v>
      </c>
      <c r="P312" s="394">
        <v>0</v>
      </c>
      <c r="Q312" s="394">
        <v>0</v>
      </c>
      <c r="R312" s="395"/>
      <c r="S312" s="76">
        <f>N312</f>
        <v>778</v>
      </c>
      <c r="U312" s="35"/>
    </row>
    <row r="313" spans="2:21" ht="19.5" thickBot="1">
      <c r="B313" s="173" t="s">
        <v>153</v>
      </c>
      <c r="C313" s="405"/>
      <c r="D313" s="406"/>
      <c r="E313" s="406"/>
      <c r="F313" s="406"/>
      <c r="G313" s="406"/>
      <c r="H313" s="406"/>
      <c r="I313" s="407"/>
      <c r="J313" s="402">
        <v>229</v>
      </c>
      <c r="K313" s="403">
        <v>185</v>
      </c>
      <c r="L313" s="403">
        <v>126</v>
      </c>
      <c r="M313" s="404">
        <v>118</v>
      </c>
      <c r="N313" s="403">
        <f>M313+L313+K313+J313</f>
        <v>658</v>
      </c>
      <c r="O313" s="394">
        <v>0</v>
      </c>
      <c r="P313" s="394">
        <v>0</v>
      </c>
      <c r="Q313" s="394">
        <v>0</v>
      </c>
      <c r="R313" s="395"/>
      <c r="S313" s="76">
        <f>N313</f>
        <v>658</v>
      </c>
      <c r="U313" s="35"/>
    </row>
    <row r="314" spans="2:21" ht="19.5" thickBot="1">
      <c r="B314" s="230" t="s">
        <v>154</v>
      </c>
      <c r="C314" s="408"/>
      <c r="D314" s="409"/>
      <c r="E314" s="409"/>
      <c r="F314" s="409"/>
      <c r="G314" s="409"/>
      <c r="H314" s="409"/>
      <c r="I314" s="410"/>
      <c r="J314" s="411">
        <v>325</v>
      </c>
      <c r="K314" s="412">
        <v>232</v>
      </c>
      <c r="L314" s="412">
        <v>127</v>
      </c>
      <c r="M314" s="413">
        <v>101</v>
      </c>
      <c r="N314" s="412">
        <f>M314+L314+K314+J314</f>
        <v>785</v>
      </c>
      <c r="O314" s="394">
        <v>0</v>
      </c>
      <c r="P314" s="394">
        <v>0</v>
      </c>
      <c r="Q314" s="394">
        <v>0</v>
      </c>
      <c r="R314" s="414"/>
      <c r="S314" s="76">
        <f>N314</f>
        <v>785</v>
      </c>
      <c r="U314" s="35"/>
    </row>
    <row r="315" spans="2:21" ht="19.5" thickBot="1">
      <c r="B315" s="231" t="s">
        <v>288</v>
      </c>
      <c r="C315" s="415"/>
      <c r="D315" s="416"/>
      <c r="E315" s="416"/>
      <c r="F315" s="416"/>
      <c r="G315" s="416"/>
      <c r="H315" s="416"/>
      <c r="I315" s="417">
        <f t="shared" si="65"/>
        <v>0</v>
      </c>
      <c r="J315" s="418"/>
      <c r="K315" s="418"/>
      <c r="L315" s="418"/>
      <c r="M315" s="418"/>
      <c r="N315" s="419"/>
      <c r="O315" s="420">
        <v>176</v>
      </c>
      <c r="P315" s="420">
        <v>97</v>
      </c>
      <c r="Q315" s="420">
        <v>128</v>
      </c>
      <c r="R315" s="421">
        <f>Q315+P315+O315</f>
        <v>401</v>
      </c>
      <c r="S315" s="76">
        <f>R315</f>
        <v>401</v>
      </c>
      <c r="U315" s="35"/>
    </row>
    <row r="316" spans="2:21" ht="19.5" thickBot="1">
      <c r="B316" s="135" t="s">
        <v>23</v>
      </c>
      <c r="C316" s="422">
        <f>C291+C292+C293+C294+C295+C296+C297+C298+C299+C300+C301+C302+C303+C304+C305+C306+C307+C308+C309</f>
        <v>372</v>
      </c>
      <c r="D316" s="422">
        <f t="shared" ref="D316:G316" si="67">D291+D292+D293+D294+D295+D296+D297+D298+D299+D300+D301+D302+D303+D304+D305+D306+D307+D308+D309+D310+D311</f>
        <v>712</v>
      </c>
      <c r="E316" s="422">
        <f t="shared" si="67"/>
        <v>854</v>
      </c>
      <c r="F316" s="422">
        <f t="shared" si="67"/>
        <v>769</v>
      </c>
      <c r="G316" s="422">
        <f t="shared" si="67"/>
        <v>784</v>
      </c>
      <c r="H316" s="423">
        <f>H291+H292+H293+H294+H295+H296+H297+H298+H299+H300+H301+H302+H303+H304+H305+H306+H307+H308+H309+H310+H311</f>
        <v>648</v>
      </c>
      <c r="I316" s="371">
        <f>H316+G316+F316+E316+D316+C316</f>
        <v>4139</v>
      </c>
      <c r="J316" s="422">
        <f>J312+J313+J314</f>
        <v>860</v>
      </c>
      <c r="K316" s="422">
        <f t="shared" ref="K316:N316" si="68">K312+K313+K314</f>
        <v>626</v>
      </c>
      <c r="L316" s="422">
        <f t="shared" si="68"/>
        <v>384</v>
      </c>
      <c r="M316" s="422">
        <f t="shared" si="68"/>
        <v>351</v>
      </c>
      <c r="N316" s="422">
        <f t="shared" si="68"/>
        <v>2221</v>
      </c>
      <c r="O316" s="422">
        <f>O315</f>
        <v>176</v>
      </c>
      <c r="P316" s="422">
        <f t="shared" ref="P316:R316" si="69">P315</f>
        <v>97</v>
      </c>
      <c r="Q316" s="422">
        <f t="shared" si="69"/>
        <v>128</v>
      </c>
      <c r="R316" s="422">
        <f t="shared" si="69"/>
        <v>401</v>
      </c>
      <c r="S316" s="206">
        <f>R316+N316+I316</f>
        <v>6761</v>
      </c>
      <c r="U316" s="36"/>
    </row>
    <row r="317" spans="2:21" ht="15.75">
      <c r="B317" s="863" t="s">
        <v>4</v>
      </c>
      <c r="C317" s="863"/>
      <c r="D317" s="863"/>
      <c r="E317" s="863"/>
      <c r="F317" s="863"/>
      <c r="G317" s="863"/>
      <c r="H317" s="863"/>
      <c r="I317" s="863"/>
      <c r="J317" s="863"/>
      <c r="K317" s="863"/>
      <c r="L317" s="863"/>
      <c r="M317" s="863"/>
      <c r="N317" s="863"/>
      <c r="O317" s="863"/>
      <c r="P317" s="863"/>
      <c r="Q317" s="863"/>
      <c r="R317" s="863"/>
      <c r="S317" s="863"/>
    </row>
    <row r="318" spans="2:21" ht="15.75">
      <c r="B318" s="863" t="s">
        <v>211</v>
      </c>
      <c r="C318" s="863"/>
      <c r="D318" s="863"/>
      <c r="E318" s="863"/>
      <c r="F318" s="863"/>
      <c r="G318" s="863"/>
      <c r="H318" s="863"/>
      <c r="I318" s="863"/>
      <c r="J318" s="863"/>
      <c r="K318" s="863"/>
      <c r="L318" s="863"/>
      <c r="M318" s="863"/>
      <c r="N318" s="863"/>
      <c r="O318" s="863"/>
      <c r="P318" s="863"/>
      <c r="Q318" s="863"/>
      <c r="R318" s="863"/>
      <c r="S318" s="863"/>
    </row>
    <row r="319" spans="2:21" ht="15.75">
      <c r="B319" s="863" t="s">
        <v>219</v>
      </c>
      <c r="C319" s="863"/>
      <c r="D319" s="863"/>
      <c r="E319" s="863"/>
      <c r="F319" s="863"/>
      <c r="G319" s="863"/>
      <c r="H319" s="863"/>
      <c r="I319" s="863"/>
      <c r="J319" s="863"/>
      <c r="K319" s="863"/>
      <c r="L319" s="863"/>
      <c r="M319" s="863"/>
      <c r="N319" s="863"/>
      <c r="O319" s="863"/>
      <c r="P319" s="863"/>
      <c r="Q319" s="863"/>
      <c r="R319" s="863"/>
      <c r="S319" s="863"/>
    </row>
    <row r="320" spans="2:21" ht="16.5" thickBot="1">
      <c r="B320" s="104" t="s">
        <v>5</v>
      </c>
      <c r="C320" s="105"/>
      <c r="D320" s="105"/>
      <c r="E320" s="105"/>
      <c r="F320" s="865" t="s">
        <v>298</v>
      </c>
      <c r="G320" s="865"/>
      <c r="H320" s="865"/>
      <c r="I320" s="865"/>
      <c r="J320" s="865"/>
      <c r="K320" s="865"/>
      <c r="L320" s="865"/>
      <c r="M320" s="865"/>
      <c r="N320" s="865"/>
      <c r="O320" s="865"/>
      <c r="P320" s="106"/>
      <c r="Q320" s="106"/>
      <c r="R320" s="106"/>
      <c r="S320" s="56"/>
    </row>
    <row r="321" spans="2:21">
      <c r="B321" s="866" t="s">
        <v>3</v>
      </c>
      <c r="C321" s="869" t="s">
        <v>6</v>
      </c>
      <c r="D321" s="870"/>
      <c r="E321" s="870"/>
      <c r="F321" s="870"/>
      <c r="G321" s="870"/>
      <c r="H321" s="870"/>
      <c r="I321" s="871"/>
      <c r="J321" s="875" t="s">
        <v>7</v>
      </c>
      <c r="K321" s="876"/>
      <c r="L321" s="876"/>
      <c r="M321" s="876"/>
      <c r="N321" s="877"/>
      <c r="O321" s="881" t="s">
        <v>8</v>
      </c>
      <c r="P321" s="882"/>
      <c r="Q321" s="882"/>
      <c r="R321" s="883"/>
      <c r="S321" s="887" t="s">
        <v>0</v>
      </c>
    </row>
    <row r="322" spans="2:21" ht="15.75" thickBot="1">
      <c r="B322" s="867"/>
      <c r="C322" s="872"/>
      <c r="D322" s="873"/>
      <c r="E322" s="873"/>
      <c r="F322" s="873"/>
      <c r="G322" s="873"/>
      <c r="H322" s="873"/>
      <c r="I322" s="874"/>
      <c r="J322" s="878"/>
      <c r="K322" s="879"/>
      <c r="L322" s="879"/>
      <c r="M322" s="879"/>
      <c r="N322" s="880"/>
      <c r="O322" s="884"/>
      <c r="P322" s="885"/>
      <c r="Q322" s="885"/>
      <c r="R322" s="886"/>
      <c r="S322" s="888"/>
    </row>
    <row r="323" spans="2:21" ht="16.5" thickBot="1">
      <c r="B323" s="868"/>
      <c r="C323" s="196" t="s">
        <v>10</v>
      </c>
      <c r="D323" s="197" t="s">
        <v>11</v>
      </c>
      <c r="E323" s="197" t="s">
        <v>12</v>
      </c>
      <c r="F323" s="197" t="s">
        <v>13</v>
      </c>
      <c r="G323" s="197" t="s">
        <v>14</v>
      </c>
      <c r="H323" s="198" t="s">
        <v>15</v>
      </c>
      <c r="I323" s="181" t="s">
        <v>16</v>
      </c>
      <c r="J323" s="199" t="s">
        <v>11</v>
      </c>
      <c r="K323" s="200" t="s">
        <v>12</v>
      </c>
      <c r="L323" s="200" t="s">
        <v>13</v>
      </c>
      <c r="M323" s="201" t="s">
        <v>14</v>
      </c>
      <c r="N323" s="228" t="s">
        <v>16</v>
      </c>
      <c r="O323" s="199" t="s">
        <v>11</v>
      </c>
      <c r="P323" s="201" t="s">
        <v>12</v>
      </c>
      <c r="Q323" s="200" t="s">
        <v>13</v>
      </c>
      <c r="R323" s="182" t="s">
        <v>16</v>
      </c>
      <c r="S323" s="888"/>
      <c r="U323" s="14" t="s">
        <v>220</v>
      </c>
    </row>
    <row r="324" spans="2:21" ht="19.5" thickBot="1">
      <c r="B324" s="183" t="s">
        <v>155</v>
      </c>
      <c r="C324" s="376">
        <v>25</v>
      </c>
      <c r="D324" s="377">
        <v>29</v>
      </c>
      <c r="E324" s="377">
        <v>39</v>
      </c>
      <c r="F324" s="377">
        <v>38</v>
      </c>
      <c r="G324" s="377">
        <v>33</v>
      </c>
      <c r="H324" s="378">
        <v>35</v>
      </c>
      <c r="I324" s="363">
        <f t="shared" ref="I324:I350" si="70">SUM(C324:H324)</f>
        <v>199</v>
      </c>
      <c r="J324" s="73">
        <v>0</v>
      </c>
      <c r="K324" s="73">
        <v>0</v>
      </c>
      <c r="L324" s="73">
        <v>0</v>
      </c>
      <c r="M324" s="73">
        <v>0</v>
      </c>
      <c r="N324" s="204"/>
      <c r="O324" s="73">
        <v>0</v>
      </c>
      <c r="P324" s="73">
        <v>0</v>
      </c>
      <c r="Q324" s="73">
        <v>0</v>
      </c>
      <c r="R324" s="233"/>
      <c r="S324" s="234">
        <f t="shared" ref="S324:S351" si="71">R324+N324+I324</f>
        <v>199</v>
      </c>
      <c r="U324" s="35" t="s">
        <v>221</v>
      </c>
    </row>
    <row r="325" spans="2:21" ht="19.5" thickBot="1">
      <c r="B325" s="186" t="s">
        <v>156</v>
      </c>
      <c r="C325" s="379">
        <v>43</v>
      </c>
      <c r="D325" s="380">
        <v>63</v>
      </c>
      <c r="E325" s="380">
        <v>74</v>
      </c>
      <c r="F325" s="380">
        <v>68</v>
      </c>
      <c r="G325" s="380">
        <v>62</v>
      </c>
      <c r="H325" s="381">
        <v>55</v>
      </c>
      <c r="I325" s="363">
        <f t="shared" si="70"/>
        <v>365</v>
      </c>
      <c r="J325" s="79">
        <v>0</v>
      </c>
      <c r="K325" s="79">
        <v>0</v>
      </c>
      <c r="L325" s="79">
        <v>0</v>
      </c>
      <c r="M325" s="79">
        <v>0</v>
      </c>
      <c r="N325" s="124"/>
      <c r="O325" s="79">
        <v>0</v>
      </c>
      <c r="P325" s="79">
        <v>0</v>
      </c>
      <c r="Q325" s="79">
        <v>0</v>
      </c>
      <c r="R325" s="235"/>
      <c r="S325" s="234">
        <f t="shared" si="71"/>
        <v>365</v>
      </c>
      <c r="U325" s="35" t="s">
        <v>221</v>
      </c>
    </row>
    <row r="326" spans="2:21" ht="19.5" thickBot="1">
      <c r="B326" s="186" t="s">
        <v>157</v>
      </c>
      <c r="C326" s="379">
        <v>0</v>
      </c>
      <c r="D326" s="380">
        <v>25</v>
      </c>
      <c r="E326" s="380">
        <v>36</v>
      </c>
      <c r="F326" s="380">
        <v>19</v>
      </c>
      <c r="G326" s="380">
        <v>22</v>
      </c>
      <c r="H326" s="381">
        <v>12</v>
      </c>
      <c r="I326" s="363">
        <f t="shared" si="70"/>
        <v>114</v>
      </c>
      <c r="J326" s="79">
        <v>0</v>
      </c>
      <c r="K326" s="79">
        <v>0</v>
      </c>
      <c r="L326" s="79">
        <v>0</v>
      </c>
      <c r="M326" s="79">
        <v>0</v>
      </c>
      <c r="N326" s="124"/>
      <c r="O326" s="79">
        <v>0</v>
      </c>
      <c r="P326" s="79">
        <v>0</v>
      </c>
      <c r="Q326" s="79">
        <v>0</v>
      </c>
      <c r="R326" s="235"/>
      <c r="S326" s="234">
        <f t="shared" si="71"/>
        <v>114</v>
      </c>
      <c r="U326" s="35" t="s">
        <v>221</v>
      </c>
    </row>
    <row r="327" spans="2:21" ht="19.5" thickBot="1">
      <c r="B327" s="186" t="s">
        <v>158</v>
      </c>
      <c r="C327" s="379">
        <v>4</v>
      </c>
      <c r="D327" s="380">
        <v>8</v>
      </c>
      <c r="E327" s="380">
        <v>9</v>
      </c>
      <c r="F327" s="380">
        <v>6</v>
      </c>
      <c r="G327" s="380">
        <v>9</v>
      </c>
      <c r="H327" s="381">
        <v>5</v>
      </c>
      <c r="I327" s="363">
        <f t="shared" si="70"/>
        <v>41</v>
      </c>
      <c r="J327" s="79">
        <v>0</v>
      </c>
      <c r="K327" s="79">
        <v>0</v>
      </c>
      <c r="L327" s="79">
        <v>0</v>
      </c>
      <c r="M327" s="79">
        <v>0</v>
      </c>
      <c r="N327" s="124"/>
      <c r="O327" s="79">
        <v>0</v>
      </c>
      <c r="P327" s="79">
        <v>0</v>
      </c>
      <c r="Q327" s="79">
        <v>0</v>
      </c>
      <c r="R327" s="235"/>
      <c r="S327" s="234">
        <f t="shared" si="71"/>
        <v>41</v>
      </c>
      <c r="U327" s="35" t="s">
        <v>221</v>
      </c>
    </row>
    <row r="328" spans="2:21" ht="19.5" thickBot="1">
      <c r="B328" s="186" t="s">
        <v>159</v>
      </c>
      <c r="C328" s="379">
        <v>0</v>
      </c>
      <c r="D328" s="380">
        <v>6</v>
      </c>
      <c r="E328" s="380">
        <v>2</v>
      </c>
      <c r="F328" s="380">
        <v>3</v>
      </c>
      <c r="G328" s="380">
        <v>3</v>
      </c>
      <c r="H328" s="381">
        <v>1</v>
      </c>
      <c r="I328" s="363">
        <f>H328+G328+F328+E328+D328+C328</f>
        <v>15</v>
      </c>
      <c r="J328" s="79">
        <v>0</v>
      </c>
      <c r="K328" s="79">
        <v>0</v>
      </c>
      <c r="L328" s="79">
        <v>0</v>
      </c>
      <c r="M328" s="79">
        <v>0</v>
      </c>
      <c r="N328" s="124"/>
      <c r="O328" s="79">
        <v>0</v>
      </c>
      <c r="P328" s="79">
        <v>0</v>
      </c>
      <c r="Q328" s="79">
        <v>0</v>
      </c>
      <c r="R328" s="235"/>
      <c r="S328" s="234">
        <f t="shared" si="71"/>
        <v>15</v>
      </c>
      <c r="U328" s="35" t="s">
        <v>221</v>
      </c>
    </row>
    <row r="329" spans="2:21" ht="19.5" thickBot="1">
      <c r="B329" s="236" t="s">
        <v>237</v>
      </c>
      <c r="C329" s="382">
        <v>19</v>
      </c>
      <c r="D329" s="383">
        <v>44</v>
      </c>
      <c r="E329" s="383">
        <v>65</v>
      </c>
      <c r="F329" s="383">
        <v>51</v>
      </c>
      <c r="G329" s="383">
        <v>52</v>
      </c>
      <c r="H329" s="384">
        <v>43</v>
      </c>
      <c r="I329" s="39">
        <f>H329+G329+F329+E329+D329+C329</f>
        <v>274</v>
      </c>
      <c r="J329" s="79">
        <v>0</v>
      </c>
      <c r="K329" s="79">
        <v>0</v>
      </c>
      <c r="L329" s="79">
        <v>0</v>
      </c>
      <c r="M329" s="79">
        <v>0</v>
      </c>
      <c r="N329" s="124"/>
      <c r="O329" s="79">
        <v>0</v>
      </c>
      <c r="P329" s="79">
        <v>0</v>
      </c>
      <c r="Q329" s="79">
        <v>0</v>
      </c>
      <c r="R329" s="235"/>
      <c r="S329" s="234">
        <f t="shared" si="71"/>
        <v>274</v>
      </c>
      <c r="U329" s="35" t="s">
        <v>221</v>
      </c>
    </row>
    <row r="330" spans="2:21" ht="19.5" thickBot="1">
      <c r="B330" s="237" t="s">
        <v>238</v>
      </c>
      <c r="C330" s="382">
        <v>0</v>
      </c>
      <c r="D330" s="383">
        <v>1</v>
      </c>
      <c r="E330" s="383">
        <v>15</v>
      </c>
      <c r="F330" s="383">
        <v>7</v>
      </c>
      <c r="G330" s="383">
        <v>2</v>
      </c>
      <c r="H330" s="383">
        <v>3</v>
      </c>
      <c r="I330" s="39">
        <f>H330+G330+F330+E330+D330+C330</f>
        <v>28</v>
      </c>
      <c r="J330" s="79"/>
      <c r="K330" s="79"/>
      <c r="L330" s="79"/>
      <c r="M330" s="79"/>
      <c r="N330" s="124"/>
      <c r="O330" s="79"/>
      <c r="P330" s="79"/>
      <c r="Q330" s="79"/>
      <c r="R330" s="235"/>
      <c r="S330" s="234">
        <f t="shared" si="71"/>
        <v>28</v>
      </c>
      <c r="U330" s="35" t="s">
        <v>265</v>
      </c>
    </row>
    <row r="331" spans="2:21" ht="19.5" thickBot="1">
      <c r="B331" s="238" t="s">
        <v>252</v>
      </c>
      <c r="C331" s="385">
        <v>0</v>
      </c>
      <c r="D331" s="386">
        <v>3</v>
      </c>
      <c r="E331" s="386">
        <v>2</v>
      </c>
      <c r="F331" s="386">
        <v>5</v>
      </c>
      <c r="G331" s="386">
        <v>3</v>
      </c>
      <c r="H331" s="386">
        <v>1</v>
      </c>
      <c r="I331" s="4">
        <f>H331+G331+F331+E331+D331+C331</f>
        <v>14</v>
      </c>
      <c r="J331" s="79"/>
      <c r="K331" s="79"/>
      <c r="L331" s="79"/>
      <c r="M331" s="79"/>
      <c r="N331" s="124"/>
      <c r="O331" s="79"/>
      <c r="P331" s="79"/>
      <c r="Q331" s="79"/>
      <c r="R331" s="235"/>
      <c r="S331" s="234">
        <f t="shared" si="71"/>
        <v>14</v>
      </c>
      <c r="U331" s="35" t="s">
        <v>265</v>
      </c>
    </row>
    <row r="332" spans="2:21" ht="16.5" thickBot="1">
      <c r="B332" s="189"/>
      <c r="C332" s="78">
        <v>0</v>
      </c>
      <c r="D332" s="79">
        <v>0</v>
      </c>
      <c r="E332" s="79">
        <v>0</v>
      </c>
      <c r="F332" s="79">
        <v>0</v>
      </c>
      <c r="G332" s="79">
        <v>0</v>
      </c>
      <c r="H332" s="79">
        <v>0</v>
      </c>
      <c r="I332" s="239">
        <f t="shared" si="70"/>
        <v>0</v>
      </c>
      <c r="J332" s="79">
        <v>0</v>
      </c>
      <c r="K332" s="79">
        <v>0</v>
      </c>
      <c r="L332" s="79">
        <v>0</v>
      </c>
      <c r="M332" s="79">
        <v>0</v>
      </c>
      <c r="N332" s="124"/>
      <c r="O332" s="79">
        <v>0</v>
      </c>
      <c r="P332" s="79">
        <v>0</v>
      </c>
      <c r="Q332" s="79">
        <v>0</v>
      </c>
      <c r="R332" s="235"/>
      <c r="S332" s="234">
        <f t="shared" si="71"/>
        <v>0</v>
      </c>
    </row>
    <row r="333" spans="2:21" ht="16.5" thickBot="1">
      <c r="B333" s="189"/>
      <c r="C333" s="78">
        <v>0</v>
      </c>
      <c r="D333" s="79">
        <v>0</v>
      </c>
      <c r="E333" s="79">
        <v>0</v>
      </c>
      <c r="F333" s="79">
        <v>0</v>
      </c>
      <c r="G333" s="79">
        <v>0</v>
      </c>
      <c r="H333" s="79">
        <v>0</v>
      </c>
      <c r="I333" s="239">
        <f t="shared" si="70"/>
        <v>0</v>
      </c>
      <c r="J333" s="79">
        <v>0</v>
      </c>
      <c r="K333" s="79">
        <v>0</v>
      </c>
      <c r="L333" s="79">
        <v>0</v>
      </c>
      <c r="M333" s="79">
        <v>0</v>
      </c>
      <c r="N333" s="124"/>
      <c r="O333" s="79">
        <v>0</v>
      </c>
      <c r="P333" s="79">
        <v>0</v>
      </c>
      <c r="Q333" s="79">
        <v>0</v>
      </c>
      <c r="R333" s="235"/>
      <c r="S333" s="234">
        <f t="shared" si="71"/>
        <v>0</v>
      </c>
    </row>
    <row r="334" spans="2:21" ht="16.5" thickBot="1">
      <c r="B334" s="189"/>
      <c r="C334" s="78">
        <v>0</v>
      </c>
      <c r="D334" s="79">
        <v>0</v>
      </c>
      <c r="E334" s="79">
        <v>0</v>
      </c>
      <c r="F334" s="79">
        <v>0</v>
      </c>
      <c r="G334" s="79">
        <v>0</v>
      </c>
      <c r="H334" s="79">
        <v>0</v>
      </c>
      <c r="I334" s="239">
        <f t="shared" si="70"/>
        <v>0</v>
      </c>
      <c r="J334" s="79">
        <v>0</v>
      </c>
      <c r="K334" s="84">
        <v>0</v>
      </c>
      <c r="L334" s="84">
        <v>0</v>
      </c>
      <c r="M334" s="84">
        <v>0</v>
      </c>
      <c r="N334" s="194"/>
      <c r="O334" s="79">
        <v>0</v>
      </c>
      <c r="P334" s="79">
        <v>0</v>
      </c>
      <c r="Q334" s="79">
        <v>0</v>
      </c>
      <c r="R334" s="235"/>
      <c r="S334" s="234">
        <f t="shared" si="71"/>
        <v>0</v>
      </c>
    </row>
    <row r="335" spans="2:21" ht="16.5" thickBot="1">
      <c r="B335" s="240" t="s">
        <v>160</v>
      </c>
      <c r="C335" s="241"/>
      <c r="D335" s="242"/>
      <c r="E335" s="242"/>
      <c r="F335" s="242"/>
      <c r="G335" s="242"/>
      <c r="H335" s="242"/>
      <c r="I335" s="243"/>
      <c r="J335" s="172">
        <v>215</v>
      </c>
      <c r="K335" s="244">
        <v>129</v>
      </c>
      <c r="L335" s="244">
        <v>94</v>
      </c>
      <c r="M335" s="244">
        <v>107</v>
      </c>
      <c r="N335" s="245">
        <f t="shared" ref="N335" si="72">SUM(J335:M335)</f>
        <v>545</v>
      </c>
      <c r="O335" s="83">
        <v>0</v>
      </c>
      <c r="P335" s="84">
        <v>0</v>
      </c>
      <c r="Q335" s="84">
        <v>0</v>
      </c>
      <c r="R335" s="246"/>
      <c r="S335" s="234">
        <f t="shared" si="71"/>
        <v>545</v>
      </c>
    </row>
    <row r="336" spans="2:21" ht="16.5" thickBot="1">
      <c r="B336" s="231" t="s">
        <v>161</v>
      </c>
      <c r="C336" s="78">
        <v>0</v>
      </c>
      <c r="D336" s="79">
        <v>0</v>
      </c>
      <c r="E336" s="79">
        <v>0</v>
      </c>
      <c r="F336" s="79">
        <v>0</v>
      </c>
      <c r="G336" s="79">
        <v>0</v>
      </c>
      <c r="H336" s="79">
        <v>0</v>
      </c>
      <c r="I336" s="239">
        <f t="shared" si="70"/>
        <v>0</v>
      </c>
      <c r="J336" s="79">
        <v>0</v>
      </c>
      <c r="K336" s="73">
        <v>0</v>
      </c>
      <c r="L336" s="73">
        <v>0</v>
      </c>
      <c r="M336" s="73">
        <v>0</v>
      </c>
      <c r="N336" s="204"/>
      <c r="O336" s="87">
        <v>42</v>
      </c>
      <c r="P336" s="87">
        <v>51</v>
      </c>
      <c r="Q336" s="87">
        <v>54</v>
      </c>
      <c r="R336" s="247">
        <f t="shared" ref="R336" si="73">SUM(O336:Q336)</f>
        <v>147</v>
      </c>
      <c r="S336" s="234">
        <f t="shared" si="71"/>
        <v>147</v>
      </c>
    </row>
    <row r="337" spans="2:19" ht="16.5" thickBot="1">
      <c r="B337" s="908"/>
      <c r="C337" s="78">
        <v>0</v>
      </c>
      <c r="D337" s="79">
        <v>0</v>
      </c>
      <c r="E337" s="79">
        <v>0</v>
      </c>
      <c r="F337" s="79">
        <v>0</v>
      </c>
      <c r="G337" s="79">
        <v>0</v>
      </c>
      <c r="H337" s="79">
        <v>0</v>
      </c>
      <c r="I337" s="239">
        <f t="shared" si="70"/>
        <v>0</v>
      </c>
      <c r="J337" s="79">
        <v>0</v>
      </c>
      <c r="K337" s="79">
        <v>0</v>
      </c>
      <c r="L337" s="79">
        <v>0</v>
      </c>
      <c r="M337" s="79">
        <v>0</v>
      </c>
      <c r="N337" s="124"/>
      <c r="O337" s="73">
        <v>0</v>
      </c>
      <c r="P337" s="73">
        <v>0</v>
      </c>
      <c r="Q337" s="73">
        <v>0</v>
      </c>
      <c r="R337" s="233"/>
      <c r="S337" s="234">
        <f t="shared" si="71"/>
        <v>0</v>
      </c>
    </row>
    <row r="338" spans="2:19" ht="16.5" thickBot="1">
      <c r="B338" s="909"/>
      <c r="C338" s="78">
        <v>0</v>
      </c>
      <c r="D338" s="79">
        <v>0</v>
      </c>
      <c r="E338" s="79">
        <v>0</v>
      </c>
      <c r="F338" s="79">
        <v>0</v>
      </c>
      <c r="G338" s="79">
        <v>0</v>
      </c>
      <c r="H338" s="79">
        <v>0</v>
      </c>
      <c r="I338" s="239">
        <v>215</v>
      </c>
      <c r="J338" s="79">
        <v>0</v>
      </c>
      <c r="K338" s="79">
        <v>0</v>
      </c>
      <c r="L338" s="79">
        <v>0</v>
      </c>
      <c r="M338" s="79">
        <v>0</v>
      </c>
      <c r="N338" s="124"/>
      <c r="O338" s="79">
        <v>0</v>
      </c>
      <c r="P338" s="79">
        <v>0</v>
      </c>
      <c r="Q338" s="79">
        <v>0</v>
      </c>
      <c r="R338" s="235"/>
      <c r="S338" s="234">
        <f t="shared" si="71"/>
        <v>215</v>
      </c>
    </row>
    <row r="339" spans="2:19" ht="16.5" thickBot="1">
      <c r="B339" s="909"/>
      <c r="C339" s="78">
        <v>0</v>
      </c>
      <c r="D339" s="79">
        <v>0</v>
      </c>
      <c r="E339" s="79">
        <v>0</v>
      </c>
      <c r="F339" s="79">
        <v>0</v>
      </c>
      <c r="G339" s="79">
        <v>0</v>
      </c>
      <c r="H339" s="79">
        <v>0</v>
      </c>
      <c r="I339" s="239">
        <f t="shared" si="70"/>
        <v>0</v>
      </c>
      <c r="J339" s="79">
        <v>0</v>
      </c>
      <c r="K339" s="79">
        <v>0</v>
      </c>
      <c r="L339" s="79">
        <v>0</v>
      </c>
      <c r="M339" s="79">
        <v>0</v>
      </c>
      <c r="N339" s="124"/>
      <c r="O339" s="79">
        <v>0</v>
      </c>
      <c r="P339" s="79">
        <v>0</v>
      </c>
      <c r="Q339" s="79">
        <v>0</v>
      </c>
      <c r="R339" s="235"/>
      <c r="S339" s="234">
        <f t="shared" si="71"/>
        <v>0</v>
      </c>
    </row>
    <row r="340" spans="2:19" ht="16.5" thickBot="1">
      <c r="B340" s="909"/>
      <c r="C340" s="78">
        <v>0</v>
      </c>
      <c r="D340" s="79">
        <v>0</v>
      </c>
      <c r="E340" s="79">
        <v>0</v>
      </c>
      <c r="F340" s="79">
        <v>0</v>
      </c>
      <c r="G340" s="79">
        <v>0</v>
      </c>
      <c r="H340" s="79">
        <v>0</v>
      </c>
      <c r="I340" s="239">
        <f t="shared" si="70"/>
        <v>0</v>
      </c>
      <c r="J340" s="79">
        <v>0</v>
      </c>
      <c r="K340" s="79">
        <v>0</v>
      </c>
      <c r="L340" s="79">
        <v>0</v>
      </c>
      <c r="M340" s="79">
        <v>0</v>
      </c>
      <c r="N340" s="124"/>
      <c r="O340" s="79">
        <v>0</v>
      </c>
      <c r="P340" s="79">
        <v>0</v>
      </c>
      <c r="Q340" s="79">
        <v>0</v>
      </c>
      <c r="R340" s="235"/>
      <c r="S340" s="234">
        <f t="shared" si="71"/>
        <v>0</v>
      </c>
    </row>
    <row r="341" spans="2:19" ht="16.5" thickBot="1">
      <c r="B341" s="909"/>
      <c r="C341" s="78">
        <v>0</v>
      </c>
      <c r="D341" s="79">
        <v>0</v>
      </c>
      <c r="E341" s="79">
        <v>0</v>
      </c>
      <c r="F341" s="79">
        <v>0</v>
      </c>
      <c r="G341" s="79">
        <v>0</v>
      </c>
      <c r="H341" s="79">
        <v>0</v>
      </c>
      <c r="I341" s="239">
        <f t="shared" si="70"/>
        <v>0</v>
      </c>
      <c r="J341" s="79">
        <v>0</v>
      </c>
      <c r="K341" s="79">
        <v>0</v>
      </c>
      <c r="L341" s="79">
        <v>0</v>
      </c>
      <c r="M341" s="79">
        <v>0</v>
      </c>
      <c r="N341" s="124"/>
      <c r="O341" s="79">
        <v>0</v>
      </c>
      <c r="P341" s="79">
        <v>0</v>
      </c>
      <c r="Q341" s="79">
        <v>0</v>
      </c>
      <c r="R341" s="235"/>
      <c r="S341" s="234">
        <f t="shared" si="71"/>
        <v>0</v>
      </c>
    </row>
    <row r="342" spans="2:19" ht="16.5" thickBot="1">
      <c r="B342" s="909"/>
      <c r="C342" s="78">
        <v>0</v>
      </c>
      <c r="D342" s="79">
        <v>0</v>
      </c>
      <c r="E342" s="79">
        <v>0</v>
      </c>
      <c r="F342" s="79">
        <v>0</v>
      </c>
      <c r="G342" s="79">
        <v>0</v>
      </c>
      <c r="H342" s="79">
        <v>0</v>
      </c>
      <c r="I342" s="239">
        <f t="shared" si="70"/>
        <v>0</v>
      </c>
      <c r="J342" s="79">
        <v>0</v>
      </c>
      <c r="K342" s="79">
        <v>0</v>
      </c>
      <c r="L342" s="79">
        <v>0</v>
      </c>
      <c r="M342" s="79">
        <v>0</v>
      </c>
      <c r="N342" s="124"/>
      <c r="O342" s="79">
        <v>0</v>
      </c>
      <c r="P342" s="79">
        <v>0</v>
      </c>
      <c r="Q342" s="79">
        <v>0</v>
      </c>
      <c r="R342" s="235"/>
      <c r="S342" s="234">
        <f t="shared" si="71"/>
        <v>0</v>
      </c>
    </row>
    <row r="343" spans="2:19" ht="16.5" thickBot="1">
      <c r="B343" s="909"/>
      <c r="C343" s="78">
        <v>0</v>
      </c>
      <c r="D343" s="79">
        <v>0</v>
      </c>
      <c r="E343" s="79">
        <v>0</v>
      </c>
      <c r="F343" s="79">
        <v>0</v>
      </c>
      <c r="G343" s="79">
        <v>0</v>
      </c>
      <c r="H343" s="79">
        <v>0</v>
      </c>
      <c r="I343" s="239">
        <f t="shared" si="70"/>
        <v>0</v>
      </c>
      <c r="J343" s="79">
        <v>0</v>
      </c>
      <c r="K343" s="79">
        <v>0</v>
      </c>
      <c r="L343" s="79">
        <v>0</v>
      </c>
      <c r="M343" s="79">
        <v>0</v>
      </c>
      <c r="N343" s="124"/>
      <c r="O343" s="79">
        <v>0</v>
      </c>
      <c r="P343" s="79">
        <v>0</v>
      </c>
      <c r="Q343" s="79">
        <v>0</v>
      </c>
      <c r="R343" s="235"/>
      <c r="S343" s="234">
        <f t="shared" si="71"/>
        <v>0</v>
      </c>
    </row>
    <row r="344" spans="2:19" ht="16.5" thickBot="1">
      <c r="B344" s="909"/>
      <c r="C344" s="78">
        <v>0</v>
      </c>
      <c r="D344" s="79">
        <v>0</v>
      </c>
      <c r="E344" s="79">
        <v>0</v>
      </c>
      <c r="F344" s="79">
        <v>0</v>
      </c>
      <c r="G344" s="79">
        <v>0</v>
      </c>
      <c r="H344" s="79">
        <v>0</v>
      </c>
      <c r="I344" s="239">
        <f t="shared" si="70"/>
        <v>0</v>
      </c>
      <c r="J344" s="79">
        <v>0</v>
      </c>
      <c r="K344" s="79">
        <v>0</v>
      </c>
      <c r="L344" s="79">
        <v>0</v>
      </c>
      <c r="M344" s="79">
        <v>0</v>
      </c>
      <c r="N344" s="124"/>
      <c r="O344" s="79">
        <v>0</v>
      </c>
      <c r="P344" s="79">
        <v>0</v>
      </c>
      <c r="Q344" s="79">
        <v>0</v>
      </c>
      <c r="R344" s="235"/>
      <c r="S344" s="234">
        <f t="shared" si="71"/>
        <v>0</v>
      </c>
    </row>
    <row r="345" spans="2:19" ht="16.5" thickBot="1">
      <c r="B345" s="909"/>
      <c r="C345" s="78">
        <v>0</v>
      </c>
      <c r="D345" s="79">
        <v>0</v>
      </c>
      <c r="E345" s="79">
        <v>0</v>
      </c>
      <c r="F345" s="79">
        <v>0</v>
      </c>
      <c r="G345" s="79">
        <v>0</v>
      </c>
      <c r="H345" s="79">
        <v>0</v>
      </c>
      <c r="I345" s="239">
        <f t="shared" si="70"/>
        <v>0</v>
      </c>
      <c r="J345" s="79">
        <v>0</v>
      </c>
      <c r="K345" s="79">
        <v>0</v>
      </c>
      <c r="L345" s="79">
        <v>0</v>
      </c>
      <c r="M345" s="79">
        <v>0</v>
      </c>
      <c r="N345" s="124"/>
      <c r="O345" s="79">
        <v>0</v>
      </c>
      <c r="P345" s="79">
        <v>0</v>
      </c>
      <c r="Q345" s="79">
        <v>0</v>
      </c>
      <c r="R345" s="235"/>
      <c r="S345" s="234">
        <f t="shared" si="71"/>
        <v>0</v>
      </c>
    </row>
    <row r="346" spans="2:19" ht="16.5" thickBot="1">
      <c r="B346" s="909"/>
      <c r="C346" s="78">
        <v>0</v>
      </c>
      <c r="D346" s="79">
        <v>0</v>
      </c>
      <c r="E346" s="79">
        <v>0</v>
      </c>
      <c r="F346" s="79">
        <v>0</v>
      </c>
      <c r="G346" s="79">
        <v>0</v>
      </c>
      <c r="H346" s="79">
        <v>0</v>
      </c>
      <c r="I346" s="239">
        <f t="shared" si="70"/>
        <v>0</v>
      </c>
      <c r="J346" s="79">
        <v>0</v>
      </c>
      <c r="K346" s="79">
        <v>0</v>
      </c>
      <c r="L346" s="79">
        <v>0</v>
      </c>
      <c r="M346" s="79">
        <v>0</v>
      </c>
      <c r="N346" s="124"/>
      <c r="O346" s="79">
        <v>0</v>
      </c>
      <c r="P346" s="79">
        <v>0</v>
      </c>
      <c r="Q346" s="79">
        <v>0</v>
      </c>
      <c r="R346" s="235"/>
      <c r="S346" s="234">
        <f t="shared" si="71"/>
        <v>0</v>
      </c>
    </row>
    <row r="347" spans="2:19" ht="16.5" thickBot="1">
      <c r="B347" s="909"/>
      <c r="C347" s="78">
        <v>0</v>
      </c>
      <c r="D347" s="79">
        <v>0</v>
      </c>
      <c r="E347" s="79">
        <v>0</v>
      </c>
      <c r="F347" s="79">
        <v>0</v>
      </c>
      <c r="G347" s="79">
        <v>0</v>
      </c>
      <c r="H347" s="79">
        <v>0</v>
      </c>
      <c r="I347" s="239">
        <f t="shared" si="70"/>
        <v>0</v>
      </c>
      <c r="J347" s="79">
        <v>0</v>
      </c>
      <c r="K347" s="79">
        <v>0</v>
      </c>
      <c r="L347" s="79">
        <v>0</v>
      </c>
      <c r="M347" s="79">
        <v>0</v>
      </c>
      <c r="N347" s="124"/>
      <c r="O347" s="79">
        <v>0</v>
      </c>
      <c r="P347" s="79">
        <v>0</v>
      </c>
      <c r="Q347" s="79">
        <v>0</v>
      </c>
      <c r="R347" s="235"/>
      <c r="S347" s="234">
        <f t="shared" si="71"/>
        <v>0</v>
      </c>
    </row>
    <row r="348" spans="2:19" ht="16.5" thickBot="1">
      <c r="B348" s="909"/>
      <c r="C348" s="78">
        <v>0</v>
      </c>
      <c r="D348" s="79">
        <v>0</v>
      </c>
      <c r="E348" s="79">
        <v>0</v>
      </c>
      <c r="F348" s="79">
        <v>0</v>
      </c>
      <c r="G348" s="79">
        <v>0</v>
      </c>
      <c r="H348" s="79">
        <v>0</v>
      </c>
      <c r="I348" s="239">
        <f t="shared" si="70"/>
        <v>0</v>
      </c>
      <c r="J348" s="79">
        <v>0</v>
      </c>
      <c r="K348" s="79">
        <v>0</v>
      </c>
      <c r="L348" s="79">
        <v>0</v>
      </c>
      <c r="M348" s="79">
        <v>0</v>
      </c>
      <c r="N348" s="124"/>
      <c r="O348" s="79">
        <v>0</v>
      </c>
      <c r="P348" s="79">
        <v>0</v>
      </c>
      <c r="Q348" s="79">
        <v>0</v>
      </c>
      <c r="R348" s="235"/>
      <c r="S348" s="234">
        <f t="shared" si="71"/>
        <v>0</v>
      </c>
    </row>
    <row r="349" spans="2:19" ht="16.5" thickBot="1">
      <c r="B349" s="909"/>
      <c r="C349" s="78">
        <v>0</v>
      </c>
      <c r="D349" s="79">
        <v>0</v>
      </c>
      <c r="E349" s="79">
        <v>0</v>
      </c>
      <c r="F349" s="79">
        <v>0</v>
      </c>
      <c r="G349" s="79">
        <v>0</v>
      </c>
      <c r="H349" s="79">
        <v>0</v>
      </c>
      <c r="I349" s="239">
        <f t="shared" si="70"/>
        <v>0</v>
      </c>
      <c r="J349" s="79">
        <v>0</v>
      </c>
      <c r="K349" s="79">
        <v>0</v>
      </c>
      <c r="L349" s="79">
        <v>0</v>
      </c>
      <c r="M349" s="79">
        <v>0</v>
      </c>
      <c r="N349" s="124"/>
      <c r="O349" s="79">
        <v>0</v>
      </c>
      <c r="P349" s="79">
        <v>0</v>
      </c>
      <c r="Q349" s="79">
        <v>0</v>
      </c>
      <c r="R349" s="235"/>
      <c r="S349" s="234">
        <f t="shared" si="71"/>
        <v>0</v>
      </c>
    </row>
    <row r="350" spans="2:19" ht="16.5" thickBot="1">
      <c r="B350" s="910"/>
      <c r="C350" s="83">
        <v>0</v>
      </c>
      <c r="D350" s="84">
        <v>0</v>
      </c>
      <c r="E350" s="84">
        <v>0</v>
      </c>
      <c r="F350" s="84">
        <v>0</v>
      </c>
      <c r="G350" s="84">
        <v>0</v>
      </c>
      <c r="H350" s="84">
        <v>0</v>
      </c>
      <c r="I350" s="248">
        <f t="shared" si="70"/>
        <v>0</v>
      </c>
      <c r="J350" s="84">
        <v>0</v>
      </c>
      <c r="K350" s="84">
        <v>0</v>
      </c>
      <c r="L350" s="84">
        <v>0</v>
      </c>
      <c r="M350" s="84">
        <v>0</v>
      </c>
      <c r="N350" s="194"/>
      <c r="O350" s="84">
        <v>0</v>
      </c>
      <c r="P350" s="84">
        <v>0</v>
      </c>
      <c r="Q350" s="84">
        <v>0</v>
      </c>
      <c r="R350" s="246"/>
      <c r="S350" s="234">
        <f t="shared" si="71"/>
        <v>0</v>
      </c>
    </row>
    <row r="351" spans="2:19" ht="16.5" thickBot="1">
      <c r="B351" s="135" t="s">
        <v>23</v>
      </c>
      <c r="C351" s="206">
        <f>C324+C325+C326+C327+C328+C329+C330+C331</f>
        <v>91</v>
      </c>
      <c r="D351" s="206">
        <f t="shared" ref="D351:H351" si="74">D324+D325+D326+D327+D328+D329+D330+D331</f>
        <v>179</v>
      </c>
      <c r="E351" s="206">
        <f t="shared" si="74"/>
        <v>242</v>
      </c>
      <c r="F351" s="206">
        <f t="shared" si="74"/>
        <v>197</v>
      </c>
      <c r="G351" s="206">
        <f t="shared" si="74"/>
        <v>186</v>
      </c>
      <c r="H351" s="206">
        <f t="shared" si="74"/>
        <v>155</v>
      </c>
      <c r="I351" s="206">
        <f>H351+G351+F351+E351+D351+C351</f>
        <v>1050</v>
      </c>
      <c r="J351" s="206">
        <f>J335</f>
        <v>215</v>
      </c>
      <c r="K351" s="206">
        <f t="shared" ref="K351:N351" si="75">K335</f>
        <v>129</v>
      </c>
      <c r="L351" s="206">
        <f t="shared" si="75"/>
        <v>94</v>
      </c>
      <c r="M351" s="206">
        <f t="shared" si="75"/>
        <v>107</v>
      </c>
      <c r="N351" s="206">
        <f t="shared" si="75"/>
        <v>545</v>
      </c>
      <c r="O351" s="206">
        <f>O336</f>
        <v>42</v>
      </c>
      <c r="P351" s="206">
        <f t="shared" ref="P351:R351" si="76">P336</f>
        <v>51</v>
      </c>
      <c r="Q351" s="206">
        <f t="shared" si="76"/>
        <v>54</v>
      </c>
      <c r="R351" s="206">
        <f t="shared" si="76"/>
        <v>147</v>
      </c>
      <c r="S351" s="249">
        <f t="shared" si="71"/>
        <v>1742</v>
      </c>
    </row>
    <row r="352" spans="2:19" s="37" customFormat="1" ht="15.75">
      <c r="B352" s="99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250"/>
    </row>
    <row r="353" spans="2:22" ht="37.5" customHeight="1">
      <c r="B353" s="863" t="s">
        <v>4</v>
      </c>
      <c r="C353" s="863"/>
      <c r="D353" s="863"/>
      <c r="E353" s="863"/>
      <c r="F353" s="863"/>
      <c r="G353" s="863"/>
      <c r="H353" s="863"/>
      <c r="I353" s="863"/>
      <c r="J353" s="863"/>
      <c r="K353" s="863"/>
      <c r="L353" s="863"/>
      <c r="M353" s="863"/>
      <c r="N353" s="863"/>
      <c r="O353" s="863"/>
      <c r="P353" s="863"/>
      <c r="Q353" s="863"/>
      <c r="R353" s="863"/>
      <c r="S353" s="863"/>
    </row>
    <row r="354" spans="2:22" ht="15.75">
      <c r="B354" s="863" t="s">
        <v>211</v>
      </c>
      <c r="C354" s="863"/>
      <c r="D354" s="863"/>
      <c r="E354" s="863"/>
      <c r="F354" s="863"/>
      <c r="G354" s="863"/>
      <c r="H354" s="863"/>
      <c r="I354" s="863"/>
      <c r="J354" s="863"/>
      <c r="K354" s="863"/>
      <c r="L354" s="863"/>
      <c r="M354" s="863"/>
      <c r="N354" s="863"/>
      <c r="O354" s="863"/>
      <c r="P354" s="863"/>
      <c r="Q354" s="863"/>
      <c r="R354" s="863"/>
      <c r="S354" s="863"/>
    </row>
    <row r="355" spans="2:22" ht="15.75">
      <c r="B355" s="863" t="s">
        <v>219</v>
      </c>
      <c r="C355" s="863"/>
      <c r="D355" s="863"/>
      <c r="E355" s="863"/>
      <c r="F355" s="863"/>
      <c r="G355" s="863"/>
      <c r="H355" s="863"/>
      <c r="I355" s="863"/>
      <c r="J355" s="863"/>
      <c r="K355" s="863"/>
      <c r="L355" s="863"/>
      <c r="M355" s="863"/>
      <c r="N355" s="863"/>
      <c r="O355" s="863"/>
      <c r="P355" s="863"/>
      <c r="Q355" s="863"/>
      <c r="R355" s="863"/>
      <c r="S355" s="863"/>
    </row>
    <row r="356" spans="2:22" ht="16.5" thickBot="1">
      <c r="B356" s="104" t="s">
        <v>5</v>
      </c>
      <c r="C356" s="105"/>
      <c r="D356" s="105"/>
      <c r="E356" s="105"/>
      <c r="F356" s="865" t="s">
        <v>299</v>
      </c>
      <c r="G356" s="865"/>
      <c r="H356" s="865"/>
      <c r="I356" s="865"/>
      <c r="J356" s="865"/>
      <c r="K356" s="865"/>
      <c r="L356" s="865"/>
      <c r="M356" s="865"/>
      <c r="N356" s="865"/>
      <c r="O356" s="865"/>
      <c r="P356" s="864"/>
      <c r="Q356" s="864"/>
      <c r="R356" s="864"/>
      <c r="S356" s="56"/>
    </row>
    <row r="357" spans="2:22">
      <c r="B357" s="902" t="s">
        <v>3</v>
      </c>
      <c r="C357" s="869" t="s">
        <v>6</v>
      </c>
      <c r="D357" s="870"/>
      <c r="E357" s="870"/>
      <c r="F357" s="870"/>
      <c r="G357" s="870"/>
      <c r="H357" s="870"/>
      <c r="I357" s="871"/>
      <c r="J357" s="875" t="s">
        <v>7</v>
      </c>
      <c r="K357" s="876"/>
      <c r="L357" s="876"/>
      <c r="M357" s="876"/>
      <c r="N357" s="877"/>
      <c r="O357" s="881" t="s">
        <v>8</v>
      </c>
      <c r="P357" s="882"/>
      <c r="Q357" s="882"/>
      <c r="R357" s="883"/>
      <c r="S357" s="887" t="s">
        <v>0</v>
      </c>
    </row>
    <row r="358" spans="2:22" ht="15.75" thickBot="1">
      <c r="B358" s="903"/>
      <c r="C358" s="872"/>
      <c r="D358" s="873"/>
      <c r="E358" s="873"/>
      <c r="F358" s="873"/>
      <c r="G358" s="873"/>
      <c r="H358" s="873"/>
      <c r="I358" s="874"/>
      <c r="J358" s="878"/>
      <c r="K358" s="879"/>
      <c r="L358" s="879"/>
      <c r="M358" s="879"/>
      <c r="N358" s="880"/>
      <c r="O358" s="884"/>
      <c r="P358" s="885"/>
      <c r="Q358" s="885"/>
      <c r="R358" s="886"/>
      <c r="S358" s="888"/>
    </row>
    <row r="359" spans="2:22" ht="28.5" customHeight="1" thickBot="1">
      <c r="B359" s="904"/>
      <c r="C359" s="139" t="s">
        <v>10</v>
      </c>
      <c r="D359" s="140" t="s">
        <v>11</v>
      </c>
      <c r="E359" s="140" t="s">
        <v>12</v>
      </c>
      <c r="F359" s="140" t="s">
        <v>13</v>
      </c>
      <c r="G359" s="140" t="s">
        <v>14</v>
      </c>
      <c r="H359" s="141" t="s">
        <v>15</v>
      </c>
      <c r="I359" s="125" t="s">
        <v>16</v>
      </c>
      <c r="J359" s="251" t="s">
        <v>11</v>
      </c>
      <c r="K359" s="251" t="s">
        <v>12</v>
      </c>
      <c r="L359" s="119" t="s">
        <v>13</v>
      </c>
      <c r="M359" s="119" t="s">
        <v>14</v>
      </c>
      <c r="N359" s="202" t="s">
        <v>16</v>
      </c>
      <c r="O359" s="118" t="s">
        <v>11</v>
      </c>
      <c r="P359" s="120" t="s">
        <v>12</v>
      </c>
      <c r="Q359" s="119" t="s">
        <v>13</v>
      </c>
      <c r="R359" s="203" t="s">
        <v>16</v>
      </c>
      <c r="S359" s="889"/>
      <c r="V359" s="14" t="s">
        <v>220</v>
      </c>
    </row>
    <row r="360" spans="2:22" ht="31.5" customHeight="1" thickBot="1">
      <c r="B360" s="94" t="s">
        <v>162</v>
      </c>
      <c r="C360" s="361">
        <v>27</v>
      </c>
      <c r="D360" s="361">
        <v>22</v>
      </c>
      <c r="E360" s="361">
        <v>43</v>
      </c>
      <c r="F360" s="361">
        <v>27</v>
      </c>
      <c r="G360" s="361">
        <v>35</v>
      </c>
      <c r="H360" s="362">
        <v>25</v>
      </c>
      <c r="I360" s="363">
        <f>H360+G360+F360+E360+D360+C360</f>
        <v>179</v>
      </c>
      <c r="J360" s="969" t="s">
        <v>242</v>
      </c>
      <c r="K360" s="970"/>
      <c r="L360" s="970"/>
      <c r="M360" s="971"/>
      <c r="N360" s="978"/>
      <c r="O360" s="72">
        <v>0</v>
      </c>
      <c r="P360" s="73">
        <v>0</v>
      </c>
      <c r="Q360" s="73">
        <v>0</v>
      </c>
      <c r="R360" s="75"/>
      <c r="S360" s="76">
        <f>C360+U354</f>
        <v>27</v>
      </c>
      <c r="V360" s="13" t="s">
        <v>221</v>
      </c>
    </row>
    <row r="361" spans="2:22" ht="27.75" customHeight="1" thickBot="1">
      <c r="B361" s="94" t="s">
        <v>163</v>
      </c>
      <c r="C361" s="361">
        <v>31</v>
      </c>
      <c r="D361" s="361">
        <v>38</v>
      </c>
      <c r="E361" s="361">
        <v>49</v>
      </c>
      <c r="F361" s="361">
        <v>46</v>
      </c>
      <c r="G361" s="361">
        <v>38</v>
      </c>
      <c r="H361" s="362">
        <v>50</v>
      </c>
      <c r="I361" s="363">
        <f t="shared" ref="I361:I372" si="77">H361+G361+F361+E361+D361+C361</f>
        <v>252</v>
      </c>
      <c r="J361" s="972"/>
      <c r="K361" s="973"/>
      <c r="L361" s="973"/>
      <c r="M361" s="974"/>
      <c r="N361" s="979"/>
      <c r="O361" s="78">
        <v>0</v>
      </c>
      <c r="P361" s="79">
        <v>0</v>
      </c>
      <c r="Q361" s="79">
        <v>0</v>
      </c>
      <c r="R361" s="81"/>
      <c r="S361" s="76">
        <f t="shared" ref="S361:S386" si="78">R361+N361+I361</f>
        <v>252</v>
      </c>
      <c r="V361" s="13" t="s">
        <v>221</v>
      </c>
    </row>
    <row r="362" spans="2:22" ht="27" customHeight="1" thickBot="1">
      <c r="B362" s="77" t="s">
        <v>164</v>
      </c>
      <c r="C362" s="361">
        <v>37</v>
      </c>
      <c r="D362" s="361">
        <v>64</v>
      </c>
      <c r="E362" s="361">
        <v>64</v>
      </c>
      <c r="F362" s="361">
        <v>63</v>
      </c>
      <c r="G362" s="361">
        <v>64</v>
      </c>
      <c r="H362" s="362">
        <v>64</v>
      </c>
      <c r="I362" s="363">
        <f t="shared" si="77"/>
        <v>356</v>
      </c>
      <c r="J362" s="972"/>
      <c r="K362" s="973"/>
      <c r="L362" s="973"/>
      <c r="M362" s="974"/>
      <c r="N362" s="979"/>
      <c r="O362" s="78">
        <v>0</v>
      </c>
      <c r="P362" s="79">
        <v>0</v>
      </c>
      <c r="Q362" s="79">
        <v>0</v>
      </c>
      <c r="R362" s="81"/>
      <c r="S362" s="76">
        <f t="shared" si="78"/>
        <v>356</v>
      </c>
      <c r="V362" s="13" t="s">
        <v>221</v>
      </c>
    </row>
    <row r="363" spans="2:22" ht="24" customHeight="1" thickBot="1">
      <c r="B363" s="77" t="s">
        <v>165</v>
      </c>
      <c r="C363" s="361">
        <v>55</v>
      </c>
      <c r="D363" s="361">
        <v>75</v>
      </c>
      <c r="E363" s="361">
        <v>90</v>
      </c>
      <c r="F363" s="361">
        <v>97</v>
      </c>
      <c r="G363" s="361">
        <v>100</v>
      </c>
      <c r="H363" s="362">
        <v>78</v>
      </c>
      <c r="I363" s="363">
        <f t="shared" si="77"/>
        <v>495</v>
      </c>
      <c r="J363" s="972"/>
      <c r="K363" s="973"/>
      <c r="L363" s="973"/>
      <c r="M363" s="974"/>
      <c r="N363" s="979"/>
      <c r="O363" s="78">
        <v>0</v>
      </c>
      <c r="P363" s="79">
        <v>0</v>
      </c>
      <c r="Q363" s="79">
        <v>0</v>
      </c>
      <c r="R363" s="81"/>
      <c r="S363" s="76">
        <f t="shared" si="78"/>
        <v>495</v>
      </c>
      <c r="V363" s="13" t="s">
        <v>221</v>
      </c>
    </row>
    <row r="364" spans="2:22" ht="30" customHeight="1" thickBot="1">
      <c r="B364" s="77" t="s">
        <v>166</v>
      </c>
      <c r="C364" s="361">
        <v>34</v>
      </c>
      <c r="D364" s="361">
        <v>50</v>
      </c>
      <c r="E364" s="361">
        <v>53</v>
      </c>
      <c r="F364" s="361">
        <v>44</v>
      </c>
      <c r="G364" s="361">
        <v>45</v>
      </c>
      <c r="H364" s="362">
        <v>40</v>
      </c>
      <c r="I364" s="363">
        <f t="shared" si="77"/>
        <v>266</v>
      </c>
      <c r="J364" s="972"/>
      <c r="K364" s="973"/>
      <c r="L364" s="973"/>
      <c r="M364" s="974"/>
      <c r="N364" s="979"/>
      <c r="O364" s="78">
        <v>0</v>
      </c>
      <c r="P364" s="79">
        <v>0</v>
      </c>
      <c r="Q364" s="79">
        <v>0</v>
      </c>
      <c r="R364" s="81"/>
      <c r="S364" s="76">
        <f t="shared" si="78"/>
        <v>266</v>
      </c>
      <c r="V364" s="13" t="s">
        <v>221</v>
      </c>
    </row>
    <row r="365" spans="2:22" ht="27.75" customHeight="1" thickBot="1">
      <c r="B365" s="77" t="s">
        <v>229</v>
      </c>
      <c r="C365" s="361">
        <v>5</v>
      </c>
      <c r="D365" s="361">
        <v>11</v>
      </c>
      <c r="E365" s="361">
        <v>19</v>
      </c>
      <c r="F365" s="361">
        <v>20</v>
      </c>
      <c r="G365" s="361">
        <v>21</v>
      </c>
      <c r="H365" s="362">
        <v>9</v>
      </c>
      <c r="I365" s="363">
        <f t="shared" si="77"/>
        <v>85</v>
      </c>
      <c r="J365" s="972"/>
      <c r="K365" s="973"/>
      <c r="L365" s="973"/>
      <c r="M365" s="974"/>
      <c r="N365" s="979"/>
      <c r="O365" s="78">
        <v>0</v>
      </c>
      <c r="P365" s="79">
        <v>0</v>
      </c>
      <c r="Q365" s="79">
        <v>0</v>
      </c>
      <c r="R365" s="81"/>
      <c r="S365" s="76">
        <f t="shared" si="78"/>
        <v>85</v>
      </c>
      <c r="V365" s="13" t="s">
        <v>221</v>
      </c>
    </row>
    <row r="366" spans="2:22" ht="26.25" customHeight="1" thickBot="1">
      <c r="B366" s="77" t="s">
        <v>230</v>
      </c>
      <c r="C366" s="361">
        <v>16</v>
      </c>
      <c r="D366" s="361">
        <v>21</v>
      </c>
      <c r="E366" s="361">
        <v>38</v>
      </c>
      <c r="F366" s="361">
        <v>25</v>
      </c>
      <c r="G366" s="361">
        <v>27</v>
      </c>
      <c r="H366" s="362">
        <v>35</v>
      </c>
      <c r="I366" s="363">
        <f t="shared" si="77"/>
        <v>162</v>
      </c>
      <c r="J366" s="972"/>
      <c r="K366" s="973"/>
      <c r="L366" s="973"/>
      <c r="M366" s="974"/>
      <c r="N366" s="979"/>
      <c r="O366" s="78">
        <v>0</v>
      </c>
      <c r="P366" s="79">
        <v>0</v>
      </c>
      <c r="Q366" s="79">
        <v>0</v>
      </c>
      <c r="R366" s="81"/>
      <c r="S366" s="76">
        <f t="shared" si="78"/>
        <v>162</v>
      </c>
      <c r="V366" s="13" t="s">
        <v>221</v>
      </c>
    </row>
    <row r="367" spans="2:22" ht="28.5" customHeight="1" thickBot="1">
      <c r="B367" s="77" t="s">
        <v>167</v>
      </c>
      <c r="C367" s="361">
        <v>4</v>
      </c>
      <c r="D367" s="361">
        <v>34</v>
      </c>
      <c r="E367" s="361">
        <v>40</v>
      </c>
      <c r="F367" s="361">
        <v>27</v>
      </c>
      <c r="G367" s="361">
        <v>19</v>
      </c>
      <c r="H367" s="362">
        <v>19</v>
      </c>
      <c r="I367" s="363">
        <f t="shared" si="77"/>
        <v>143</v>
      </c>
      <c r="J367" s="972"/>
      <c r="K367" s="973"/>
      <c r="L367" s="973"/>
      <c r="M367" s="974"/>
      <c r="N367" s="979"/>
      <c r="O367" s="78">
        <v>0</v>
      </c>
      <c r="P367" s="79">
        <v>0</v>
      </c>
      <c r="Q367" s="79">
        <v>0</v>
      </c>
      <c r="R367" s="81"/>
      <c r="S367" s="76">
        <f t="shared" si="78"/>
        <v>143</v>
      </c>
      <c r="V367" s="13" t="s">
        <v>221</v>
      </c>
    </row>
    <row r="368" spans="2:22" ht="26.25" customHeight="1" thickBot="1">
      <c r="B368" s="77" t="s">
        <v>168</v>
      </c>
      <c r="C368" s="361">
        <v>0</v>
      </c>
      <c r="D368" s="361">
        <v>10</v>
      </c>
      <c r="E368" s="361">
        <v>7</v>
      </c>
      <c r="F368" s="361">
        <v>10</v>
      </c>
      <c r="G368" s="361">
        <v>10</v>
      </c>
      <c r="H368" s="362">
        <v>9</v>
      </c>
      <c r="I368" s="363">
        <f t="shared" si="77"/>
        <v>46</v>
      </c>
      <c r="J368" s="972"/>
      <c r="K368" s="973"/>
      <c r="L368" s="973"/>
      <c r="M368" s="974"/>
      <c r="N368" s="979"/>
      <c r="O368" s="78">
        <v>0</v>
      </c>
      <c r="P368" s="79">
        <v>0</v>
      </c>
      <c r="Q368" s="79">
        <v>0</v>
      </c>
      <c r="R368" s="81"/>
      <c r="S368" s="76">
        <f t="shared" si="78"/>
        <v>46</v>
      </c>
      <c r="V368" s="13" t="s">
        <v>221</v>
      </c>
    </row>
    <row r="369" spans="2:22" ht="29.25" customHeight="1" thickBot="1">
      <c r="B369" s="77" t="s">
        <v>169</v>
      </c>
      <c r="C369" s="361">
        <v>86</v>
      </c>
      <c r="D369" s="361">
        <v>90</v>
      </c>
      <c r="E369" s="361">
        <v>92</v>
      </c>
      <c r="F369" s="361">
        <v>105</v>
      </c>
      <c r="G369" s="361">
        <v>105</v>
      </c>
      <c r="H369" s="362">
        <v>96</v>
      </c>
      <c r="I369" s="363">
        <f t="shared" si="77"/>
        <v>574</v>
      </c>
      <c r="J369" s="972"/>
      <c r="K369" s="973"/>
      <c r="L369" s="973"/>
      <c r="M369" s="974"/>
      <c r="N369" s="979"/>
      <c r="O369" s="78">
        <v>0</v>
      </c>
      <c r="P369" s="79">
        <v>0</v>
      </c>
      <c r="Q369" s="79">
        <v>0</v>
      </c>
      <c r="R369" s="81"/>
      <c r="S369" s="76">
        <f t="shared" si="78"/>
        <v>574</v>
      </c>
      <c r="V369" s="13" t="s">
        <v>221</v>
      </c>
    </row>
    <row r="370" spans="2:22" ht="27" customHeight="1" thickBot="1">
      <c r="B370" s="77" t="s">
        <v>170</v>
      </c>
      <c r="C370" s="361">
        <v>17</v>
      </c>
      <c r="D370" s="361">
        <v>30</v>
      </c>
      <c r="E370" s="361">
        <v>40</v>
      </c>
      <c r="F370" s="361">
        <v>26</v>
      </c>
      <c r="G370" s="361">
        <v>28</v>
      </c>
      <c r="H370" s="362">
        <v>26</v>
      </c>
      <c r="I370" s="364">
        <f t="shared" si="77"/>
        <v>167</v>
      </c>
      <c r="J370" s="972"/>
      <c r="K370" s="973"/>
      <c r="L370" s="973"/>
      <c r="M370" s="974"/>
      <c r="N370" s="979"/>
      <c r="O370" s="78">
        <v>0</v>
      </c>
      <c r="P370" s="79">
        <v>0</v>
      </c>
      <c r="Q370" s="79">
        <v>0</v>
      </c>
      <c r="R370" s="81"/>
      <c r="S370" s="76">
        <f t="shared" si="78"/>
        <v>167</v>
      </c>
      <c r="V370" s="13" t="s">
        <v>221</v>
      </c>
    </row>
    <row r="371" spans="2:22" ht="23.25" customHeight="1">
      <c r="B371" s="128" t="s">
        <v>171</v>
      </c>
      <c r="C371" s="365">
        <v>8</v>
      </c>
      <c r="D371" s="365">
        <v>25</v>
      </c>
      <c r="E371" s="365">
        <v>20</v>
      </c>
      <c r="F371" s="365">
        <v>18</v>
      </c>
      <c r="G371" s="365">
        <v>16</v>
      </c>
      <c r="H371" s="366">
        <v>16</v>
      </c>
      <c r="I371" s="367">
        <f t="shared" si="77"/>
        <v>103</v>
      </c>
      <c r="J371" s="972"/>
      <c r="K371" s="973"/>
      <c r="L371" s="973"/>
      <c r="M371" s="974"/>
      <c r="N371" s="979"/>
      <c r="O371" s="78">
        <v>0</v>
      </c>
      <c r="P371" s="79">
        <v>0</v>
      </c>
      <c r="Q371" s="79">
        <v>0</v>
      </c>
      <c r="R371" s="81"/>
      <c r="S371" s="76">
        <f t="shared" si="78"/>
        <v>103</v>
      </c>
      <c r="V371" s="13" t="s">
        <v>221</v>
      </c>
    </row>
    <row r="372" spans="2:22" s="37" customFormat="1" ht="22.5" customHeight="1" thickBot="1">
      <c r="B372" s="252" t="s">
        <v>267</v>
      </c>
      <c r="C372" s="368">
        <v>0</v>
      </c>
      <c r="D372" s="368">
        <v>4</v>
      </c>
      <c r="E372" s="368">
        <v>9</v>
      </c>
      <c r="F372" s="368">
        <v>10</v>
      </c>
      <c r="G372" s="368">
        <v>0</v>
      </c>
      <c r="H372" s="369">
        <v>0</v>
      </c>
      <c r="I372" s="370">
        <f t="shared" si="77"/>
        <v>23</v>
      </c>
      <c r="J372" s="975"/>
      <c r="K372" s="976"/>
      <c r="L372" s="976"/>
      <c r="M372" s="977"/>
      <c r="N372" s="980"/>
      <c r="O372" s="78"/>
      <c r="P372" s="79"/>
      <c r="Q372" s="79"/>
      <c r="R372" s="81"/>
      <c r="S372" s="76">
        <f t="shared" si="78"/>
        <v>23</v>
      </c>
      <c r="V372" s="38"/>
    </row>
    <row r="373" spans="2:22" ht="22.5" customHeight="1">
      <c r="B373" s="253" t="s">
        <v>172</v>
      </c>
      <c r="C373" s="959" t="s">
        <v>1</v>
      </c>
      <c r="D373" s="960"/>
      <c r="E373" s="960"/>
      <c r="F373" s="960"/>
      <c r="G373" s="960"/>
      <c r="H373" s="960"/>
      <c r="I373" s="967"/>
      <c r="J373" s="96">
        <v>266</v>
      </c>
      <c r="K373" s="96">
        <v>166</v>
      </c>
      <c r="L373" s="96">
        <v>132</v>
      </c>
      <c r="M373" s="254">
        <v>140</v>
      </c>
      <c r="N373" s="255">
        <f>M373+L373+K373+J373</f>
        <v>704</v>
      </c>
      <c r="O373" s="78">
        <v>0</v>
      </c>
      <c r="P373" s="79">
        <v>0</v>
      </c>
      <c r="Q373" s="79">
        <v>0</v>
      </c>
      <c r="R373" s="81"/>
      <c r="S373" s="76">
        <f t="shared" si="78"/>
        <v>704</v>
      </c>
      <c r="V373" s="16"/>
    </row>
    <row r="374" spans="2:22" ht="20.25" customHeight="1">
      <c r="B374" s="153" t="s">
        <v>173</v>
      </c>
      <c r="C374" s="961"/>
      <c r="D374" s="962"/>
      <c r="E374" s="962"/>
      <c r="F374" s="962"/>
      <c r="G374" s="962"/>
      <c r="H374" s="962"/>
      <c r="I374" s="968"/>
      <c r="J374" s="256">
        <v>158</v>
      </c>
      <c r="K374" s="257">
        <v>158</v>
      </c>
      <c r="L374" s="257">
        <v>106</v>
      </c>
      <c r="M374" s="258">
        <v>113</v>
      </c>
      <c r="N374" s="255">
        <f t="shared" ref="N374:N375" si="79">M374+L374+K374+J374</f>
        <v>535</v>
      </c>
      <c r="O374" s="78">
        <v>0</v>
      </c>
      <c r="P374" s="79">
        <v>0</v>
      </c>
      <c r="Q374" s="79">
        <v>0</v>
      </c>
      <c r="R374" s="81"/>
      <c r="S374" s="76">
        <f t="shared" si="78"/>
        <v>535</v>
      </c>
      <c r="V374" s="16"/>
    </row>
    <row r="375" spans="2:22" ht="28.5" customHeight="1" thickBot="1">
      <c r="B375" s="259" t="s">
        <v>174</v>
      </c>
      <c r="C375" s="961"/>
      <c r="D375" s="962"/>
      <c r="E375" s="962"/>
      <c r="F375" s="962"/>
      <c r="G375" s="962"/>
      <c r="H375" s="962"/>
      <c r="I375" s="968"/>
      <c r="J375" s="260">
        <v>218</v>
      </c>
      <c r="K375" s="261">
        <v>190</v>
      </c>
      <c r="L375" s="261">
        <v>131</v>
      </c>
      <c r="M375" s="262">
        <v>136</v>
      </c>
      <c r="N375" s="255">
        <f t="shared" si="79"/>
        <v>675</v>
      </c>
      <c r="O375" s="78">
        <v>0</v>
      </c>
      <c r="P375" s="79">
        <v>0</v>
      </c>
      <c r="Q375" s="79">
        <v>0</v>
      </c>
      <c r="R375" s="81"/>
      <c r="S375" s="76">
        <f t="shared" si="78"/>
        <v>675</v>
      </c>
      <c r="V375" s="16"/>
    </row>
    <row r="376" spans="2:22" ht="22.5" customHeight="1" thickBot="1">
      <c r="B376" s="263" t="s">
        <v>175</v>
      </c>
      <c r="C376" s="961"/>
      <c r="D376" s="962"/>
      <c r="E376" s="962"/>
      <c r="F376" s="962"/>
      <c r="G376" s="962"/>
      <c r="H376" s="962"/>
      <c r="I376" s="968"/>
      <c r="J376" s="963">
        <v>0</v>
      </c>
      <c r="K376" s="963"/>
      <c r="L376" s="963"/>
      <c r="M376" s="964"/>
      <c r="N376" s="264"/>
      <c r="O376" s="265">
        <v>175</v>
      </c>
      <c r="P376" s="266">
        <v>159</v>
      </c>
      <c r="Q376" s="267">
        <v>185</v>
      </c>
      <c r="R376" s="268"/>
      <c r="S376" s="76">
        <f>Q376+P376+O376</f>
        <v>519</v>
      </c>
      <c r="V376" s="16"/>
    </row>
    <row r="377" spans="2:22" ht="22.5" customHeight="1" thickBot="1">
      <c r="B377" s="269" t="s">
        <v>176</v>
      </c>
      <c r="C377" s="961"/>
      <c r="D377" s="962"/>
      <c r="E377" s="962"/>
      <c r="F377" s="962"/>
      <c r="G377" s="962"/>
      <c r="H377" s="962"/>
      <c r="I377" s="968"/>
      <c r="J377" s="965"/>
      <c r="K377" s="965"/>
      <c r="L377" s="965"/>
      <c r="M377" s="966"/>
      <c r="N377" s="270"/>
      <c r="O377" s="271">
        <v>149</v>
      </c>
      <c r="P377" s="272">
        <v>82</v>
      </c>
      <c r="Q377" s="273">
        <v>77</v>
      </c>
      <c r="R377" s="89"/>
      <c r="S377" s="76">
        <f>Q377+P377+O377</f>
        <v>308</v>
      </c>
      <c r="V377" s="16"/>
    </row>
    <row r="378" spans="2:22" ht="15.75">
      <c r="B378" s="957"/>
      <c r="C378" s="961"/>
      <c r="D378" s="962"/>
      <c r="E378" s="962"/>
      <c r="F378" s="962"/>
      <c r="G378" s="962"/>
      <c r="H378" s="962"/>
      <c r="I378" s="968"/>
      <c r="J378" s="965"/>
      <c r="K378" s="965"/>
      <c r="L378" s="965"/>
      <c r="M378" s="966"/>
      <c r="N378" s="270"/>
      <c r="O378" s="73">
        <v>0</v>
      </c>
      <c r="P378" s="73">
        <v>0</v>
      </c>
      <c r="Q378" s="73">
        <v>0</v>
      </c>
      <c r="R378" s="81"/>
      <c r="S378" s="890"/>
      <c r="V378" s="16"/>
    </row>
    <row r="379" spans="2:22" ht="15.75">
      <c r="B379" s="958"/>
      <c r="C379" s="961"/>
      <c r="D379" s="962"/>
      <c r="E379" s="962"/>
      <c r="F379" s="962"/>
      <c r="G379" s="962"/>
      <c r="H379" s="962"/>
      <c r="I379" s="968"/>
      <c r="J379" s="965"/>
      <c r="K379" s="965"/>
      <c r="L379" s="965"/>
      <c r="M379" s="966"/>
      <c r="N379" s="270"/>
      <c r="O379" s="79">
        <v>0</v>
      </c>
      <c r="P379" s="79">
        <v>0</v>
      </c>
      <c r="Q379" s="79">
        <v>0</v>
      </c>
      <c r="R379" s="81"/>
      <c r="S379" s="891"/>
      <c r="V379" s="16"/>
    </row>
    <row r="380" spans="2:22" ht="15.75">
      <c r="B380" s="958"/>
      <c r="C380" s="961"/>
      <c r="D380" s="962"/>
      <c r="E380" s="962"/>
      <c r="F380" s="962"/>
      <c r="G380" s="962"/>
      <c r="H380" s="962"/>
      <c r="I380" s="968"/>
      <c r="J380" s="965"/>
      <c r="K380" s="965"/>
      <c r="L380" s="965"/>
      <c r="M380" s="966"/>
      <c r="N380" s="270"/>
      <c r="O380" s="79">
        <v>0</v>
      </c>
      <c r="P380" s="79">
        <v>0</v>
      </c>
      <c r="Q380" s="79">
        <v>0</v>
      </c>
      <c r="R380" s="81"/>
      <c r="S380" s="891"/>
    </row>
    <row r="381" spans="2:22" ht="15.75">
      <c r="B381" s="958"/>
      <c r="C381" s="961"/>
      <c r="D381" s="962"/>
      <c r="E381" s="962"/>
      <c r="F381" s="962"/>
      <c r="G381" s="962"/>
      <c r="H381" s="962"/>
      <c r="I381" s="968"/>
      <c r="J381" s="965"/>
      <c r="K381" s="965"/>
      <c r="L381" s="965"/>
      <c r="M381" s="966"/>
      <c r="N381" s="270"/>
      <c r="O381" s="79">
        <v>0</v>
      </c>
      <c r="P381" s="79">
        <v>0</v>
      </c>
      <c r="Q381" s="79">
        <v>0</v>
      </c>
      <c r="R381" s="81"/>
      <c r="S381" s="891"/>
      <c r="U381" s="37" t="s">
        <v>266</v>
      </c>
    </row>
    <row r="382" spans="2:22" ht="15.75">
      <c r="B382" s="958"/>
      <c r="C382" s="961"/>
      <c r="D382" s="962"/>
      <c r="E382" s="962"/>
      <c r="F382" s="962"/>
      <c r="G382" s="962"/>
      <c r="H382" s="962"/>
      <c r="I382" s="968"/>
      <c r="J382" s="965"/>
      <c r="K382" s="965"/>
      <c r="L382" s="965"/>
      <c r="M382" s="966"/>
      <c r="N382" s="270"/>
      <c r="O382" s="79">
        <v>0</v>
      </c>
      <c r="P382" s="79">
        <v>0</v>
      </c>
      <c r="Q382" s="79">
        <v>0</v>
      </c>
      <c r="R382" s="81"/>
      <c r="S382" s="891"/>
    </row>
    <row r="383" spans="2:22" ht="15.75">
      <c r="B383" s="958"/>
      <c r="C383" s="961"/>
      <c r="D383" s="962"/>
      <c r="E383" s="962"/>
      <c r="F383" s="962"/>
      <c r="G383" s="962"/>
      <c r="H383" s="962"/>
      <c r="I383" s="968"/>
      <c r="J383" s="965"/>
      <c r="K383" s="965"/>
      <c r="L383" s="965"/>
      <c r="M383" s="966"/>
      <c r="N383" s="270"/>
      <c r="O383" s="79">
        <v>0</v>
      </c>
      <c r="P383" s="79">
        <v>0</v>
      </c>
      <c r="Q383" s="79">
        <v>0</v>
      </c>
      <c r="R383" s="81"/>
      <c r="S383" s="891"/>
    </row>
    <row r="384" spans="2:22" ht="15.75">
      <c r="B384" s="958"/>
      <c r="C384" s="961"/>
      <c r="D384" s="962"/>
      <c r="E384" s="962"/>
      <c r="F384" s="962"/>
      <c r="G384" s="962"/>
      <c r="H384" s="962"/>
      <c r="I384" s="968"/>
      <c r="J384" s="965"/>
      <c r="K384" s="965"/>
      <c r="L384" s="965"/>
      <c r="M384" s="966"/>
      <c r="N384" s="270"/>
      <c r="O384" s="79">
        <v>0</v>
      </c>
      <c r="P384" s="79">
        <v>0</v>
      </c>
      <c r="Q384" s="79">
        <v>0</v>
      </c>
      <c r="R384" s="81"/>
      <c r="S384" s="891"/>
    </row>
    <row r="385" spans="2:21" ht="19.5" thickBot="1">
      <c r="B385" s="958"/>
      <c r="C385" s="961"/>
      <c r="D385" s="962"/>
      <c r="E385" s="962"/>
      <c r="F385" s="962"/>
      <c r="G385" s="962"/>
      <c r="H385" s="962"/>
      <c r="I385" s="371"/>
      <c r="J385" s="965"/>
      <c r="K385" s="965"/>
      <c r="L385" s="965"/>
      <c r="M385" s="966"/>
      <c r="N385" s="270"/>
      <c r="O385" s="79">
        <v>0</v>
      </c>
      <c r="P385" s="79">
        <v>0</v>
      </c>
      <c r="Q385" s="79">
        <v>0</v>
      </c>
      <c r="R385" s="81"/>
      <c r="S385" s="891"/>
    </row>
    <row r="386" spans="2:21" ht="30.75" customHeight="1" thickBot="1">
      <c r="B386" s="97" t="s">
        <v>23</v>
      </c>
      <c r="C386" s="372">
        <f t="shared" ref="C386:H386" si="80">SUM(C360:C385)</f>
        <v>320</v>
      </c>
      <c r="D386" s="373">
        <f t="shared" si="80"/>
        <v>474</v>
      </c>
      <c r="E386" s="373">
        <f t="shared" si="80"/>
        <v>564</v>
      </c>
      <c r="F386" s="373">
        <f t="shared" si="80"/>
        <v>518</v>
      </c>
      <c r="G386" s="373">
        <f>G360+G361+G362+G363+G364+G365+G366+G367+G368+G369+G370+G371</f>
        <v>508</v>
      </c>
      <c r="H386" s="374">
        <f t="shared" si="80"/>
        <v>467</v>
      </c>
      <c r="I386" s="375">
        <f>I360+I361+I362+I363+I364+I365+I366+I367+I368+I369+I370+I371+I372</f>
        <v>2851</v>
      </c>
      <c r="J386" s="98">
        <f>SUM(J360:J385)</f>
        <v>642</v>
      </c>
      <c r="K386" s="98">
        <f>SUM(K360:K385)</f>
        <v>514</v>
      </c>
      <c r="L386" s="98">
        <f>SUM(L360:L385)</f>
        <v>369</v>
      </c>
      <c r="M386" s="98">
        <f>SUM(M360:M385)</f>
        <v>389</v>
      </c>
      <c r="N386" s="275">
        <f>N373+N374+N375</f>
        <v>1914</v>
      </c>
      <c r="O386" s="98">
        <f>SUM(O360:O385)</f>
        <v>324</v>
      </c>
      <c r="P386" s="276">
        <f>SUM(P360:P385)</f>
        <v>241</v>
      </c>
      <c r="Q386" s="274">
        <f>SUM(Q360:Q385)</f>
        <v>262</v>
      </c>
      <c r="R386" s="90">
        <f>SUM(O386:Q386)</f>
        <v>827</v>
      </c>
      <c r="S386" s="277">
        <f t="shared" si="78"/>
        <v>5592</v>
      </c>
    </row>
    <row r="387" spans="2:21" s="37" customFormat="1" ht="15.75">
      <c r="B387" s="99"/>
      <c r="C387" s="100"/>
      <c r="D387" s="100"/>
      <c r="E387" s="100"/>
      <c r="F387" s="100"/>
      <c r="G387" s="278"/>
      <c r="H387" s="278"/>
      <c r="I387" s="279"/>
      <c r="J387" s="278"/>
      <c r="K387" s="278"/>
      <c r="L387" s="278"/>
      <c r="M387" s="278"/>
      <c r="N387" s="278"/>
      <c r="O387" s="278"/>
      <c r="P387" s="278"/>
      <c r="Q387" s="278"/>
      <c r="R387" s="278"/>
      <c r="S387" s="278"/>
    </row>
    <row r="388" spans="2:21" ht="15.75">
      <c r="B388" s="863" t="s">
        <v>4</v>
      </c>
      <c r="C388" s="863"/>
      <c r="D388" s="863"/>
      <c r="E388" s="863"/>
      <c r="F388" s="863"/>
      <c r="G388" s="863"/>
      <c r="H388" s="863"/>
      <c r="I388" s="863"/>
      <c r="J388" s="863"/>
      <c r="K388" s="863"/>
      <c r="L388" s="863"/>
      <c r="M388" s="863"/>
      <c r="N388" s="863"/>
      <c r="O388" s="863"/>
      <c r="P388" s="863"/>
      <c r="Q388" s="863"/>
      <c r="R388" s="863"/>
      <c r="S388" s="863"/>
    </row>
    <row r="389" spans="2:21" ht="15.75">
      <c r="B389" s="863" t="s">
        <v>211</v>
      </c>
      <c r="C389" s="863"/>
      <c r="D389" s="863"/>
      <c r="E389" s="863"/>
      <c r="F389" s="863"/>
      <c r="G389" s="863"/>
      <c r="H389" s="863"/>
      <c r="I389" s="863"/>
      <c r="J389" s="863"/>
      <c r="K389" s="863"/>
      <c r="L389" s="863"/>
      <c r="M389" s="863"/>
      <c r="N389" s="863"/>
      <c r="O389" s="863"/>
      <c r="P389" s="863"/>
      <c r="Q389" s="863"/>
      <c r="R389" s="863"/>
      <c r="S389" s="863"/>
    </row>
    <row r="390" spans="2:21" ht="15.75">
      <c r="B390" s="103" t="s">
        <v>219</v>
      </c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</row>
    <row r="391" spans="2:21" ht="16.5" thickBot="1">
      <c r="B391" s="104" t="s">
        <v>5</v>
      </c>
      <c r="C391" s="105"/>
      <c r="D391" s="105"/>
      <c r="E391" s="105"/>
      <c r="F391" s="865" t="s">
        <v>300</v>
      </c>
      <c r="G391" s="865"/>
      <c r="H391" s="865"/>
      <c r="I391" s="865"/>
      <c r="J391" s="865"/>
      <c r="K391" s="865"/>
      <c r="L391" s="865"/>
      <c r="M391" s="865"/>
      <c r="N391" s="865"/>
      <c r="O391" s="865"/>
      <c r="P391" s="865"/>
      <c r="Q391" s="865"/>
      <c r="R391" s="865"/>
      <c r="S391" s="56"/>
    </row>
    <row r="392" spans="2:21" ht="15.75">
      <c r="B392" s="280" t="s">
        <v>3</v>
      </c>
      <c r="C392" s="281" t="s">
        <v>6</v>
      </c>
      <c r="D392" s="282"/>
      <c r="E392" s="282"/>
      <c r="F392" s="282"/>
      <c r="G392" s="282"/>
      <c r="H392" s="282"/>
      <c r="I392" s="283"/>
      <c r="J392" s="284" t="s">
        <v>7</v>
      </c>
      <c r="K392" s="285"/>
      <c r="L392" s="285"/>
      <c r="M392" s="285"/>
      <c r="N392" s="286"/>
      <c r="O392" s="287" t="s">
        <v>8</v>
      </c>
      <c r="P392" s="288"/>
      <c r="Q392" s="288"/>
      <c r="R392" s="289"/>
      <c r="S392" s="290" t="s">
        <v>0</v>
      </c>
    </row>
    <row r="393" spans="2:21" ht="16.5" thickBot="1">
      <c r="B393" s="291"/>
      <c r="C393" s="358"/>
      <c r="D393" s="359"/>
      <c r="E393" s="359"/>
      <c r="F393" s="359"/>
      <c r="G393" s="359"/>
      <c r="H393" s="359"/>
      <c r="I393" s="292"/>
      <c r="J393" s="293"/>
      <c r="K393" s="294"/>
      <c r="L393" s="294"/>
      <c r="M393" s="294"/>
      <c r="N393" s="295"/>
      <c r="O393" s="296"/>
      <c r="P393" s="297"/>
      <c r="Q393" s="297"/>
      <c r="R393" s="298"/>
      <c r="S393" s="299"/>
    </row>
    <row r="394" spans="2:21" ht="16.5" thickBot="1">
      <c r="B394" s="221"/>
      <c r="C394" s="360" t="s">
        <v>10</v>
      </c>
      <c r="D394" s="360" t="s">
        <v>11</v>
      </c>
      <c r="E394" s="360" t="s">
        <v>12</v>
      </c>
      <c r="F394" s="360" t="s">
        <v>13</v>
      </c>
      <c r="G394" s="360" t="s">
        <v>14</v>
      </c>
      <c r="H394" s="360" t="s">
        <v>15</v>
      </c>
      <c r="I394" s="357" t="s">
        <v>16</v>
      </c>
      <c r="J394" s="300" t="s">
        <v>11</v>
      </c>
      <c r="K394" s="300" t="s">
        <v>12</v>
      </c>
      <c r="L394" s="300" t="s">
        <v>13</v>
      </c>
      <c r="M394" s="301" t="s">
        <v>14</v>
      </c>
      <c r="N394" s="302" t="s">
        <v>16</v>
      </c>
      <c r="O394" s="303" t="s">
        <v>11</v>
      </c>
      <c r="P394" s="301" t="s">
        <v>12</v>
      </c>
      <c r="Q394" s="300" t="s">
        <v>13</v>
      </c>
      <c r="R394" s="203" t="s">
        <v>16</v>
      </c>
      <c r="S394" s="304"/>
      <c r="U394" s="14" t="s">
        <v>220</v>
      </c>
    </row>
    <row r="395" spans="2:21" ht="16.5" thickBot="1">
      <c r="B395" s="354" t="s">
        <v>178</v>
      </c>
      <c r="C395" s="187">
        <v>45</v>
      </c>
      <c r="D395" s="187">
        <v>35</v>
      </c>
      <c r="E395" s="187">
        <v>40</v>
      </c>
      <c r="F395" s="187">
        <v>47</v>
      </c>
      <c r="G395" s="187">
        <v>37</v>
      </c>
      <c r="H395" s="187">
        <v>40</v>
      </c>
      <c r="I395" s="123">
        <f t="shared" ref="I395:I420" si="81">SUM(C395:H395)</f>
        <v>244</v>
      </c>
      <c r="J395" s="78">
        <v>0</v>
      </c>
      <c r="K395" s="79">
        <v>0</v>
      </c>
      <c r="L395" s="79">
        <v>0</v>
      </c>
      <c r="M395" s="79">
        <v>0</v>
      </c>
      <c r="N395" s="305">
        <f t="shared" ref="N395:N420" si="82">SUM(J395:M395)</f>
        <v>0</v>
      </c>
      <c r="O395" s="79">
        <v>0</v>
      </c>
      <c r="P395" s="79">
        <v>0</v>
      </c>
      <c r="Q395" s="79">
        <v>0</v>
      </c>
      <c r="R395" s="306">
        <f t="shared" ref="R395:R419" si="83">SUM(O395:Q395)</f>
        <v>0</v>
      </c>
      <c r="S395" s="147">
        <f t="shared" ref="S395:S420" si="84">R395+N395+I395</f>
        <v>244</v>
      </c>
      <c r="U395" s="8"/>
    </row>
    <row r="396" spans="2:21" ht="16.5" thickBot="1">
      <c r="B396" s="355" t="s">
        <v>179</v>
      </c>
      <c r="C396" s="187">
        <v>0</v>
      </c>
      <c r="D396" s="187">
        <v>8</v>
      </c>
      <c r="E396" s="187">
        <v>20</v>
      </c>
      <c r="F396" s="187">
        <v>15</v>
      </c>
      <c r="G396" s="187">
        <v>27</v>
      </c>
      <c r="H396" s="187">
        <v>13</v>
      </c>
      <c r="I396" s="123">
        <f t="shared" si="81"/>
        <v>83</v>
      </c>
      <c r="J396" s="78">
        <v>0</v>
      </c>
      <c r="K396" s="79">
        <v>0</v>
      </c>
      <c r="L396" s="79">
        <v>0</v>
      </c>
      <c r="M396" s="79">
        <v>0</v>
      </c>
      <c r="N396" s="305">
        <f t="shared" si="82"/>
        <v>0</v>
      </c>
      <c r="O396" s="79">
        <v>0</v>
      </c>
      <c r="P396" s="79">
        <v>0</v>
      </c>
      <c r="Q396" s="79">
        <v>0</v>
      </c>
      <c r="R396" s="307">
        <f t="shared" si="83"/>
        <v>0</v>
      </c>
      <c r="S396" s="147">
        <f t="shared" si="84"/>
        <v>83</v>
      </c>
      <c r="U396" s="8"/>
    </row>
    <row r="397" spans="2:21" ht="16.5" thickBot="1">
      <c r="B397" s="355" t="s">
        <v>180</v>
      </c>
      <c r="C397" s="187">
        <v>0</v>
      </c>
      <c r="D397" s="187">
        <v>15</v>
      </c>
      <c r="E397" s="187">
        <v>17</v>
      </c>
      <c r="F397" s="187">
        <v>21</v>
      </c>
      <c r="G397" s="187">
        <v>22</v>
      </c>
      <c r="H397" s="187">
        <v>14</v>
      </c>
      <c r="I397" s="123">
        <f t="shared" si="81"/>
        <v>89</v>
      </c>
      <c r="J397" s="78">
        <v>0</v>
      </c>
      <c r="K397" s="79">
        <v>0</v>
      </c>
      <c r="L397" s="79">
        <v>0</v>
      </c>
      <c r="M397" s="79">
        <v>0</v>
      </c>
      <c r="N397" s="305">
        <f t="shared" si="82"/>
        <v>0</v>
      </c>
      <c r="O397" s="79">
        <v>0</v>
      </c>
      <c r="P397" s="79">
        <v>0</v>
      </c>
      <c r="Q397" s="79">
        <v>0</v>
      </c>
      <c r="R397" s="307">
        <f t="shared" si="83"/>
        <v>0</v>
      </c>
      <c r="S397" s="147">
        <f t="shared" si="84"/>
        <v>89</v>
      </c>
      <c r="U397" s="8"/>
    </row>
    <row r="398" spans="2:21" ht="16.5" thickBot="1">
      <c r="B398" s="355" t="s">
        <v>181</v>
      </c>
      <c r="C398" s="187">
        <v>0</v>
      </c>
      <c r="D398" s="187">
        <v>20</v>
      </c>
      <c r="E398" s="187">
        <v>19</v>
      </c>
      <c r="F398" s="187">
        <v>12</v>
      </c>
      <c r="G398" s="187">
        <v>14</v>
      </c>
      <c r="H398" s="187">
        <v>13</v>
      </c>
      <c r="I398" s="123">
        <f t="shared" si="81"/>
        <v>78</v>
      </c>
      <c r="J398" s="78">
        <v>0</v>
      </c>
      <c r="K398" s="79">
        <v>0</v>
      </c>
      <c r="L398" s="79">
        <v>0</v>
      </c>
      <c r="M398" s="79">
        <v>0</v>
      </c>
      <c r="N398" s="305">
        <f t="shared" si="82"/>
        <v>0</v>
      </c>
      <c r="O398" s="79">
        <v>0</v>
      </c>
      <c r="P398" s="79">
        <v>0</v>
      </c>
      <c r="Q398" s="79">
        <v>0</v>
      </c>
      <c r="R398" s="307">
        <f t="shared" si="83"/>
        <v>0</v>
      </c>
      <c r="S398" s="147">
        <f t="shared" si="84"/>
        <v>78</v>
      </c>
      <c r="U398" s="8"/>
    </row>
    <row r="399" spans="2:21" ht="16.5" thickBot="1">
      <c r="B399" s="355" t="s">
        <v>182</v>
      </c>
      <c r="C399" s="187">
        <v>0</v>
      </c>
      <c r="D399" s="187">
        <v>4</v>
      </c>
      <c r="E399" s="187">
        <v>12</v>
      </c>
      <c r="F399" s="187">
        <v>15</v>
      </c>
      <c r="G399" s="187">
        <v>10</v>
      </c>
      <c r="H399" s="187">
        <v>20</v>
      </c>
      <c r="I399" s="123">
        <f t="shared" si="81"/>
        <v>61</v>
      </c>
      <c r="J399" s="78">
        <v>0</v>
      </c>
      <c r="K399" s="79">
        <v>0</v>
      </c>
      <c r="L399" s="79">
        <v>0</v>
      </c>
      <c r="M399" s="79">
        <v>0</v>
      </c>
      <c r="N399" s="305">
        <f t="shared" si="82"/>
        <v>0</v>
      </c>
      <c r="O399" s="79">
        <v>0</v>
      </c>
      <c r="P399" s="79">
        <v>0</v>
      </c>
      <c r="Q399" s="79">
        <v>0</v>
      </c>
      <c r="R399" s="307">
        <f t="shared" si="83"/>
        <v>0</v>
      </c>
      <c r="S399" s="147">
        <f t="shared" si="84"/>
        <v>61</v>
      </c>
      <c r="U399" s="8"/>
    </row>
    <row r="400" spans="2:21" ht="16.5" thickBot="1">
      <c r="B400" s="355" t="s">
        <v>183</v>
      </c>
      <c r="C400" s="187">
        <v>0</v>
      </c>
      <c r="D400" s="187">
        <v>18</v>
      </c>
      <c r="E400" s="187">
        <v>12</v>
      </c>
      <c r="F400" s="187">
        <v>14</v>
      </c>
      <c r="G400" s="187">
        <v>14</v>
      </c>
      <c r="H400" s="187">
        <v>12</v>
      </c>
      <c r="I400" s="123">
        <f t="shared" si="81"/>
        <v>70</v>
      </c>
      <c r="J400" s="78">
        <v>0</v>
      </c>
      <c r="K400" s="79">
        <v>0</v>
      </c>
      <c r="L400" s="79">
        <v>0</v>
      </c>
      <c r="M400" s="79">
        <v>0</v>
      </c>
      <c r="N400" s="305">
        <f t="shared" si="82"/>
        <v>0</v>
      </c>
      <c r="O400" s="79">
        <v>0</v>
      </c>
      <c r="P400" s="79">
        <v>0</v>
      </c>
      <c r="Q400" s="79">
        <v>0</v>
      </c>
      <c r="R400" s="307">
        <f t="shared" si="83"/>
        <v>0</v>
      </c>
      <c r="S400" s="147">
        <f t="shared" si="84"/>
        <v>70</v>
      </c>
      <c r="U400" s="8"/>
    </row>
    <row r="401" spans="2:23" ht="16.5" thickBot="1">
      <c r="B401" s="355" t="s">
        <v>184</v>
      </c>
      <c r="C401" s="187">
        <v>0</v>
      </c>
      <c r="D401" s="187">
        <v>11</v>
      </c>
      <c r="E401" s="187">
        <v>20</v>
      </c>
      <c r="F401" s="187">
        <v>15</v>
      </c>
      <c r="G401" s="187">
        <v>14</v>
      </c>
      <c r="H401" s="187">
        <v>22</v>
      </c>
      <c r="I401" s="123">
        <f t="shared" si="81"/>
        <v>82</v>
      </c>
      <c r="J401" s="78">
        <v>0</v>
      </c>
      <c r="K401" s="79">
        <v>0</v>
      </c>
      <c r="L401" s="79">
        <v>0</v>
      </c>
      <c r="M401" s="79">
        <v>0</v>
      </c>
      <c r="N401" s="305">
        <f t="shared" si="82"/>
        <v>0</v>
      </c>
      <c r="O401" s="79">
        <v>0</v>
      </c>
      <c r="P401" s="79">
        <v>0</v>
      </c>
      <c r="Q401" s="79">
        <v>0</v>
      </c>
      <c r="R401" s="307">
        <f t="shared" si="83"/>
        <v>0</v>
      </c>
      <c r="S401" s="147">
        <f t="shared" si="84"/>
        <v>82</v>
      </c>
      <c r="U401" s="8"/>
    </row>
    <row r="402" spans="2:23" ht="16.5" thickBot="1">
      <c r="B402" s="355" t="s">
        <v>185</v>
      </c>
      <c r="C402" s="187">
        <v>0</v>
      </c>
      <c r="D402" s="187">
        <v>8</v>
      </c>
      <c r="E402" s="187">
        <v>6</v>
      </c>
      <c r="F402" s="187">
        <v>5</v>
      </c>
      <c r="G402" s="187">
        <v>8</v>
      </c>
      <c r="H402" s="187">
        <v>3</v>
      </c>
      <c r="I402" s="123">
        <f t="shared" si="81"/>
        <v>30</v>
      </c>
      <c r="J402" s="78">
        <v>0</v>
      </c>
      <c r="K402" s="79">
        <v>0</v>
      </c>
      <c r="L402" s="79">
        <v>0</v>
      </c>
      <c r="M402" s="79">
        <v>0</v>
      </c>
      <c r="N402" s="305">
        <f t="shared" si="82"/>
        <v>0</v>
      </c>
      <c r="O402" s="79">
        <v>0</v>
      </c>
      <c r="P402" s="79">
        <v>0</v>
      </c>
      <c r="Q402" s="79">
        <v>0</v>
      </c>
      <c r="R402" s="307">
        <f t="shared" si="83"/>
        <v>0</v>
      </c>
      <c r="S402" s="147">
        <f t="shared" si="84"/>
        <v>30</v>
      </c>
      <c r="U402" s="8"/>
    </row>
    <row r="403" spans="2:23" ht="16.5" thickBot="1">
      <c r="B403" s="355" t="s">
        <v>186</v>
      </c>
      <c r="C403" s="187">
        <v>0</v>
      </c>
      <c r="D403" s="187">
        <v>10</v>
      </c>
      <c r="E403" s="187">
        <v>9</v>
      </c>
      <c r="F403" s="187">
        <v>10</v>
      </c>
      <c r="G403" s="187">
        <v>9</v>
      </c>
      <c r="H403" s="187">
        <v>8</v>
      </c>
      <c r="I403" s="123">
        <f t="shared" si="81"/>
        <v>46</v>
      </c>
      <c r="J403" s="78">
        <v>0</v>
      </c>
      <c r="K403" s="79">
        <v>0</v>
      </c>
      <c r="L403" s="79">
        <v>0</v>
      </c>
      <c r="M403" s="79">
        <v>0</v>
      </c>
      <c r="N403" s="305">
        <f t="shared" si="82"/>
        <v>0</v>
      </c>
      <c r="O403" s="79">
        <v>0</v>
      </c>
      <c r="P403" s="79">
        <v>0</v>
      </c>
      <c r="Q403" s="79">
        <v>0</v>
      </c>
      <c r="R403" s="307">
        <f t="shared" si="83"/>
        <v>0</v>
      </c>
      <c r="S403" s="147">
        <f t="shared" si="84"/>
        <v>46</v>
      </c>
      <c r="U403" s="8"/>
      <c r="W403" s="6"/>
    </row>
    <row r="404" spans="2:23" ht="16.5" thickBot="1">
      <c r="B404" s="355" t="s">
        <v>187</v>
      </c>
      <c r="C404" s="187">
        <v>8</v>
      </c>
      <c r="D404" s="187">
        <v>30</v>
      </c>
      <c r="E404" s="187">
        <v>25</v>
      </c>
      <c r="F404" s="187">
        <v>33</v>
      </c>
      <c r="G404" s="187">
        <v>38</v>
      </c>
      <c r="H404" s="187">
        <v>29</v>
      </c>
      <c r="I404" s="123">
        <f t="shared" si="81"/>
        <v>163</v>
      </c>
      <c r="J404" s="78">
        <v>0</v>
      </c>
      <c r="K404" s="79">
        <v>0</v>
      </c>
      <c r="L404" s="79">
        <v>0</v>
      </c>
      <c r="M404" s="79">
        <v>0</v>
      </c>
      <c r="N404" s="305">
        <f t="shared" si="82"/>
        <v>0</v>
      </c>
      <c r="O404" s="79">
        <v>0</v>
      </c>
      <c r="P404" s="79">
        <v>0</v>
      </c>
      <c r="Q404" s="79">
        <v>0</v>
      </c>
      <c r="R404" s="307">
        <f t="shared" si="83"/>
        <v>0</v>
      </c>
      <c r="S404" s="147">
        <f t="shared" si="84"/>
        <v>163</v>
      </c>
      <c r="U404" s="8"/>
    </row>
    <row r="405" spans="2:23" ht="16.5" thickBot="1">
      <c r="B405" s="355" t="s">
        <v>188</v>
      </c>
      <c r="C405" s="187">
        <v>0</v>
      </c>
      <c r="D405" s="187">
        <v>14</v>
      </c>
      <c r="E405" s="187">
        <v>37</v>
      </c>
      <c r="F405" s="187">
        <v>29</v>
      </c>
      <c r="G405" s="187">
        <v>24</v>
      </c>
      <c r="H405" s="187">
        <v>21</v>
      </c>
      <c r="I405" s="123">
        <f t="shared" si="81"/>
        <v>125</v>
      </c>
      <c r="J405" s="78">
        <v>0</v>
      </c>
      <c r="K405" s="79">
        <v>0</v>
      </c>
      <c r="L405" s="79">
        <v>0</v>
      </c>
      <c r="M405" s="79">
        <v>0</v>
      </c>
      <c r="N405" s="305">
        <f t="shared" si="82"/>
        <v>0</v>
      </c>
      <c r="O405" s="79">
        <v>0</v>
      </c>
      <c r="P405" s="79">
        <v>0</v>
      </c>
      <c r="Q405" s="79">
        <v>0</v>
      </c>
      <c r="R405" s="307">
        <f t="shared" si="83"/>
        <v>0</v>
      </c>
      <c r="S405" s="147">
        <f t="shared" si="84"/>
        <v>125</v>
      </c>
      <c r="U405" s="8"/>
    </row>
    <row r="406" spans="2:23" ht="16.5" thickBot="1">
      <c r="B406" s="355" t="s">
        <v>189</v>
      </c>
      <c r="C406" s="187">
        <v>0</v>
      </c>
      <c r="D406" s="187">
        <v>23</v>
      </c>
      <c r="E406" s="187">
        <v>40</v>
      </c>
      <c r="F406" s="187">
        <v>51</v>
      </c>
      <c r="G406" s="187">
        <v>43</v>
      </c>
      <c r="H406" s="187">
        <v>44</v>
      </c>
      <c r="I406" s="123">
        <f t="shared" si="81"/>
        <v>201</v>
      </c>
      <c r="J406" s="78">
        <v>0</v>
      </c>
      <c r="K406" s="79">
        <v>0</v>
      </c>
      <c r="L406" s="79">
        <v>0</v>
      </c>
      <c r="M406" s="79">
        <v>0</v>
      </c>
      <c r="N406" s="305">
        <f t="shared" si="82"/>
        <v>0</v>
      </c>
      <c r="O406" s="79">
        <v>0</v>
      </c>
      <c r="P406" s="79">
        <v>0</v>
      </c>
      <c r="Q406" s="79">
        <v>0</v>
      </c>
      <c r="R406" s="307">
        <f t="shared" si="83"/>
        <v>0</v>
      </c>
      <c r="S406" s="147">
        <f t="shared" si="84"/>
        <v>201</v>
      </c>
      <c r="U406" s="8"/>
    </row>
    <row r="407" spans="2:23" ht="16.5" thickBot="1">
      <c r="B407" s="355" t="s">
        <v>190</v>
      </c>
      <c r="C407" s="187">
        <v>0</v>
      </c>
      <c r="D407" s="187">
        <v>15</v>
      </c>
      <c r="E407" s="187">
        <v>14</v>
      </c>
      <c r="F407" s="187">
        <v>8</v>
      </c>
      <c r="G407" s="187">
        <v>15</v>
      </c>
      <c r="H407" s="187">
        <v>15</v>
      </c>
      <c r="I407" s="123">
        <f t="shared" si="81"/>
        <v>67</v>
      </c>
      <c r="J407" s="78">
        <v>0</v>
      </c>
      <c r="K407" s="79">
        <v>0</v>
      </c>
      <c r="L407" s="79">
        <v>0</v>
      </c>
      <c r="M407" s="79">
        <v>0</v>
      </c>
      <c r="N407" s="305">
        <f t="shared" si="82"/>
        <v>0</v>
      </c>
      <c r="O407" s="79">
        <v>0</v>
      </c>
      <c r="P407" s="79">
        <v>0</v>
      </c>
      <c r="Q407" s="79">
        <v>0</v>
      </c>
      <c r="R407" s="307">
        <f t="shared" si="83"/>
        <v>0</v>
      </c>
      <c r="S407" s="147">
        <f t="shared" si="84"/>
        <v>67</v>
      </c>
      <c r="U407" s="8"/>
    </row>
    <row r="408" spans="2:23" ht="16.5" thickBot="1">
      <c r="B408" s="355" t="s">
        <v>191</v>
      </c>
      <c r="C408" s="187">
        <v>6</v>
      </c>
      <c r="D408" s="187">
        <v>19</v>
      </c>
      <c r="E408" s="187">
        <v>26</v>
      </c>
      <c r="F408" s="187">
        <v>32</v>
      </c>
      <c r="G408" s="187">
        <v>34</v>
      </c>
      <c r="H408" s="187">
        <v>30</v>
      </c>
      <c r="I408" s="123">
        <f t="shared" si="81"/>
        <v>147</v>
      </c>
      <c r="J408" s="78">
        <v>0</v>
      </c>
      <c r="K408" s="79">
        <v>0</v>
      </c>
      <c r="L408" s="79">
        <v>0</v>
      </c>
      <c r="M408" s="79">
        <v>0</v>
      </c>
      <c r="N408" s="305">
        <f t="shared" si="82"/>
        <v>0</v>
      </c>
      <c r="O408" s="79">
        <v>0</v>
      </c>
      <c r="P408" s="79">
        <v>0</v>
      </c>
      <c r="Q408" s="79">
        <v>0</v>
      </c>
      <c r="R408" s="307">
        <f t="shared" si="83"/>
        <v>0</v>
      </c>
      <c r="S408" s="147">
        <f t="shared" si="84"/>
        <v>147</v>
      </c>
      <c r="U408" s="8"/>
    </row>
    <row r="409" spans="2:23" ht="16.5" thickBot="1">
      <c r="B409" s="355" t="s">
        <v>192</v>
      </c>
      <c r="C409" s="187">
        <v>0</v>
      </c>
      <c r="D409" s="187">
        <v>8</v>
      </c>
      <c r="E409" s="187">
        <v>4</v>
      </c>
      <c r="F409" s="187">
        <v>10</v>
      </c>
      <c r="G409" s="187">
        <v>6</v>
      </c>
      <c r="H409" s="187">
        <v>8</v>
      </c>
      <c r="I409" s="123">
        <f t="shared" si="81"/>
        <v>36</v>
      </c>
      <c r="J409" s="78">
        <v>0</v>
      </c>
      <c r="K409" s="79">
        <v>0</v>
      </c>
      <c r="L409" s="79">
        <v>0</v>
      </c>
      <c r="M409" s="79">
        <v>0</v>
      </c>
      <c r="N409" s="305">
        <f t="shared" si="82"/>
        <v>0</v>
      </c>
      <c r="O409" s="79">
        <v>0</v>
      </c>
      <c r="P409" s="79">
        <v>0</v>
      </c>
      <c r="Q409" s="79">
        <v>0</v>
      </c>
      <c r="R409" s="307">
        <f t="shared" si="83"/>
        <v>0</v>
      </c>
      <c r="S409" s="147">
        <f t="shared" si="84"/>
        <v>36</v>
      </c>
      <c r="U409" s="8"/>
    </row>
    <row r="410" spans="2:23" ht="16.5" thickBot="1">
      <c r="B410" s="355" t="s">
        <v>193</v>
      </c>
      <c r="C410" s="187">
        <v>32</v>
      </c>
      <c r="D410" s="187">
        <v>40</v>
      </c>
      <c r="E410" s="187">
        <v>36</v>
      </c>
      <c r="F410" s="187">
        <v>43</v>
      </c>
      <c r="G410" s="187">
        <v>31</v>
      </c>
      <c r="H410" s="187">
        <v>47</v>
      </c>
      <c r="I410" s="123">
        <f t="shared" si="81"/>
        <v>229</v>
      </c>
      <c r="J410" s="78">
        <v>0</v>
      </c>
      <c r="K410" s="79">
        <v>0</v>
      </c>
      <c r="L410" s="79">
        <v>0</v>
      </c>
      <c r="M410" s="79">
        <v>0</v>
      </c>
      <c r="N410" s="305">
        <f t="shared" si="82"/>
        <v>0</v>
      </c>
      <c r="O410" s="79">
        <v>0</v>
      </c>
      <c r="P410" s="79">
        <v>0</v>
      </c>
      <c r="Q410" s="79">
        <v>0</v>
      </c>
      <c r="R410" s="307">
        <f t="shared" si="83"/>
        <v>0</v>
      </c>
      <c r="S410" s="147">
        <f t="shared" si="84"/>
        <v>229</v>
      </c>
      <c r="U410" s="8"/>
    </row>
    <row r="411" spans="2:23" ht="16.5" thickBot="1">
      <c r="B411" s="356" t="s">
        <v>194</v>
      </c>
      <c r="C411" s="187">
        <v>32</v>
      </c>
      <c r="D411" s="187">
        <v>70</v>
      </c>
      <c r="E411" s="187">
        <v>72</v>
      </c>
      <c r="F411" s="187">
        <v>76</v>
      </c>
      <c r="G411" s="187">
        <v>57</v>
      </c>
      <c r="H411" s="187">
        <v>57</v>
      </c>
      <c r="I411" s="123">
        <f t="shared" si="81"/>
        <v>364</v>
      </c>
      <c r="J411" s="79">
        <v>0</v>
      </c>
      <c r="K411" s="79">
        <v>0</v>
      </c>
      <c r="L411" s="79">
        <v>0</v>
      </c>
      <c r="M411" s="79">
        <v>0</v>
      </c>
      <c r="N411" s="305">
        <f t="shared" si="82"/>
        <v>0</v>
      </c>
      <c r="O411" s="79">
        <v>0</v>
      </c>
      <c r="P411" s="79">
        <v>0</v>
      </c>
      <c r="Q411" s="79">
        <v>0</v>
      </c>
      <c r="R411" s="307">
        <f t="shared" si="83"/>
        <v>0</v>
      </c>
      <c r="S411" s="147">
        <f t="shared" si="84"/>
        <v>364</v>
      </c>
      <c r="U411" s="8"/>
    </row>
    <row r="412" spans="2:23" s="31" customFormat="1" ht="16.5" thickBot="1">
      <c r="B412" s="354" t="s">
        <v>177</v>
      </c>
      <c r="C412" s="187">
        <v>0</v>
      </c>
      <c r="D412" s="187">
        <v>20</v>
      </c>
      <c r="E412" s="187">
        <v>19</v>
      </c>
      <c r="F412" s="187">
        <v>11</v>
      </c>
      <c r="G412" s="187">
        <v>16</v>
      </c>
      <c r="H412" s="187">
        <v>12</v>
      </c>
      <c r="I412" s="123">
        <f t="shared" si="81"/>
        <v>78</v>
      </c>
      <c r="J412" s="79"/>
      <c r="K412" s="79"/>
      <c r="L412" s="79"/>
      <c r="M412" s="79"/>
      <c r="N412" s="305"/>
      <c r="O412" s="79"/>
      <c r="P412" s="79"/>
      <c r="Q412" s="79"/>
      <c r="R412" s="307"/>
      <c r="S412" s="147">
        <f t="shared" si="84"/>
        <v>78</v>
      </c>
      <c r="U412" s="8"/>
    </row>
    <row r="413" spans="2:23" ht="16.5" thickBot="1">
      <c r="B413" s="352" t="s">
        <v>195</v>
      </c>
      <c r="C413" s="187">
        <v>0</v>
      </c>
      <c r="D413" s="187">
        <v>7</v>
      </c>
      <c r="E413" s="187">
        <v>23</v>
      </c>
      <c r="F413" s="187">
        <v>25</v>
      </c>
      <c r="G413" s="187">
        <v>21</v>
      </c>
      <c r="H413" s="187">
        <v>16</v>
      </c>
      <c r="I413" s="123">
        <f t="shared" si="81"/>
        <v>92</v>
      </c>
      <c r="J413" s="79">
        <v>0</v>
      </c>
      <c r="K413" s="79">
        <v>0</v>
      </c>
      <c r="L413" s="79">
        <v>0</v>
      </c>
      <c r="M413" s="79">
        <v>0</v>
      </c>
      <c r="N413" s="305">
        <f t="shared" si="82"/>
        <v>0</v>
      </c>
      <c r="O413" s="79">
        <v>0</v>
      </c>
      <c r="P413" s="79">
        <v>0</v>
      </c>
      <c r="Q413" s="79">
        <v>0</v>
      </c>
      <c r="R413" s="307">
        <f t="shared" si="83"/>
        <v>0</v>
      </c>
      <c r="S413" s="308">
        <f t="shared" si="84"/>
        <v>92</v>
      </c>
      <c r="U413" s="8"/>
    </row>
    <row r="414" spans="2:23" s="37" customFormat="1" ht="16.5" thickBot="1">
      <c r="B414" s="353" t="s">
        <v>272</v>
      </c>
      <c r="C414" s="187">
        <v>0</v>
      </c>
      <c r="D414" s="187">
        <v>8</v>
      </c>
      <c r="E414" s="187">
        <v>8</v>
      </c>
      <c r="F414" s="187">
        <v>9</v>
      </c>
      <c r="G414" s="187">
        <v>8</v>
      </c>
      <c r="H414" s="187">
        <v>0</v>
      </c>
      <c r="I414" s="123">
        <f t="shared" si="81"/>
        <v>33</v>
      </c>
      <c r="J414" s="79"/>
      <c r="K414" s="79"/>
      <c r="L414" s="79"/>
      <c r="M414" s="79"/>
      <c r="N414" s="305"/>
      <c r="O414" s="79"/>
      <c r="P414" s="79"/>
      <c r="Q414" s="79"/>
      <c r="R414" s="307"/>
      <c r="S414" s="308">
        <f t="shared" si="84"/>
        <v>33</v>
      </c>
      <c r="U414" s="40"/>
    </row>
    <row r="415" spans="2:23" s="37" customFormat="1" ht="16.5" thickBot="1">
      <c r="B415" s="353" t="s">
        <v>273</v>
      </c>
      <c r="C415" s="187">
        <v>0</v>
      </c>
      <c r="D415" s="187">
        <v>10</v>
      </c>
      <c r="E415" s="187">
        <v>2</v>
      </c>
      <c r="F415" s="187">
        <v>2</v>
      </c>
      <c r="G415" s="187">
        <v>0</v>
      </c>
      <c r="H415" s="187">
        <v>0</v>
      </c>
      <c r="I415" s="123">
        <f t="shared" si="81"/>
        <v>14</v>
      </c>
      <c r="J415" s="79"/>
      <c r="K415" s="79"/>
      <c r="L415" s="79"/>
      <c r="M415" s="79"/>
      <c r="N415" s="305"/>
      <c r="O415" s="79"/>
      <c r="P415" s="79"/>
      <c r="Q415" s="79"/>
      <c r="R415" s="307"/>
      <c r="S415" s="308">
        <f t="shared" si="84"/>
        <v>14</v>
      </c>
      <c r="U415" s="40"/>
    </row>
    <row r="416" spans="2:23" s="37" customFormat="1" ht="16.5" thickBot="1">
      <c r="B416" s="353" t="s">
        <v>274</v>
      </c>
      <c r="C416" s="187">
        <v>26</v>
      </c>
      <c r="D416" s="187">
        <v>41</v>
      </c>
      <c r="E416" s="187">
        <v>41</v>
      </c>
      <c r="F416" s="187">
        <v>22</v>
      </c>
      <c r="G416" s="187">
        <v>30</v>
      </c>
      <c r="H416" s="187">
        <v>28</v>
      </c>
      <c r="I416" s="123">
        <f t="shared" si="81"/>
        <v>188</v>
      </c>
      <c r="J416" s="79"/>
      <c r="K416" s="79"/>
      <c r="L416" s="79"/>
      <c r="M416" s="79"/>
      <c r="N416" s="305"/>
      <c r="O416" s="79"/>
      <c r="P416" s="79"/>
      <c r="Q416" s="79"/>
      <c r="R416" s="307"/>
      <c r="S416" s="308">
        <f t="shared" si="84"/>
        <v>188</v>
      </c>
      <c r="U416" s="40"/>
    </row>
    <row r="417" spans="2:23" ht="16.5" thickBot="1">
      <c r="B417" s="309" t="s">
        <v>243</v>
      </c>
      <c r="C417" s="279"/>
      <c r="D417" s="279"/>
      <c r="E417" s="279"/>
      <c r="F417" s="279"/>
      <c r="G417" s="279"/>
      <c r="H417" s="279"/>
      <c r="I417" s="278"/>
      <c r="J417" s="310">
        <v>209</v>
      </c>
      <c r="K417" s="311">
        <v>160</v>
      </c>
      <c r="L417" s="312">
        <v>99</v>
      </c>
      <c r="M417" s="313">
        <v>0</v>
      </c>
      <c r="N417" s="314">
        <f>M417+L417+K417+J417</f>
        <v>468</v>
      </c>
      <c r="O417" s="79"/>
      <c r="P417" s="79"/>
      <c r="Q417" s="79"/>
      <c r="R417" s="307"/>
      <c r="S417" s="308">
        <f t="shared" si="84"/>
        <v>468</v>
      </c>
      <c r="U417" s="18"/>
    </row>
    <row r="418" spans="2:23" ht="16.5" thickBot="1">
      <c r="B418" s="315" t="s">
        <v>196</v>
      </c>
      <c r="C418" s="79">
        <v>0</v>
      </c>
      <c r="D418" s="79">
        <v>0</v>
      </c>
      <c r="E418" s="79">
        <v>0</v>
      </c>
      <c r="F418" s="79">
        <v>0</v>
      </c>
      <c r="G418" s="79">
        <v>0</v>
      </c>
      <c r="H418" s="79">
        <v>0</v>
      </c>
      <c r="I418" s="80">
        <f t="shared" si="81"/>
        <v>0</v>
      </c>
      <c r="J418" s="316">
        <v>181</v>
      </c>
      <c r="K418" s="317">
        <v>111</v>
      </c>
      <c r="L418" s="318">
        <v>71</v>
      </c>
      <c r="M418" s="318">
        <v>66</v>
      </c>
      <c r="N418" s="319">
        <f t="shared" si="82"/>
        <v>429</v>
      </c>
      <c r="O418" s="78">
        <v>0</v>
      </c>
      <c r="P418" s="79">
        <v>0</v>
      </c>
      <c r="Q418" s="79">
        <v>0</v>
      </c>
      <c r="R418" s="307">
        <f t="shared" si="83"/>
        <v>0</v>
      </c>
      <c r="S418" s="308">
        <f t="shared" si="84"/>
        <v>429</v>
      </c>
    </row>
    <row r="419" spans="2:23" ht="16.5" thickBot="1">
      <c r="B419" s="320" t="s">
        <v>197</v>
      </c>
      <c r="C419" s="79">
        <v>0</v>
      </c>
      <c r="D419" s="79">
        <v>0</v>
      </c>
      <c r="E419" s="79">
        <v>0</v>
      </c>
      <c r="F419" s="79">
        <v>0</v>
      </c>
      <c r="G419" s="79">
        <v>0</v>
      </c>
      <c r="H419" s="79">
        <v>0</v>
      </c>
      <c r="I419" s="80">
        <f t="shared" si="81"/>
        <v>0</v>
      </c>
      <c r="J419" s="310">
        <v>211</v>
      </c>
      <c r="K419" s="311">
        <v>191</v>
      </c>
      <c r="L419" s="311">
        <v>115</v>
      </c>
      <c r="M419" s="314">
        <v>135</v>
      </c>
      <c r="N419" s="321">
        <f t="shared" si="82"/>
        <v>652</v>
      </c>
      <c r="O419" s="78">
        <v>0</v>
      </c>
      <c r="P419" s="79">
        <v>0</v>
      </c>
      <c r="Q419" s="79">
        <v>0</v>
      </c>
      <c r="R419" s="322">
        <f t="shared" si="83"/>
        <v>0</v>
      </c>
      <c r="S419" s="308">
        <f t="shared" si="84"/>
        <v>652</v>
      </c>
      <c r="U419" s="8"/>
    </row>
    <row r="420" spans="2:23" ht="16.5" thickBot="1">
      <c r="B420" s="323" t="s">
        <v>198</v>
      </c>
      <c r="C420" s="79">
        <v>0</v>
      </c>
      <c r="D420" s="79">
        <v>0</v>
      </c>
      <c r="E420" s="79">
        <v>0</v>
      </c>
      <c r="F420" s="79">
        <v>0</v>
      </c>
      <c r="G420" s="79">
        <v>0</v>
      </c>
      <c r="H420" s="79">
        <v>0</v>
      </c>
      <c r="I420" s="79">
        <f t="shared" si="81"/>
        <v>0</v>
      </c>
      <c r="J420" s="79">
        <v>0</v>
      </c>
      <c r="K420" s="79">
        <v>0</v>
      </c>
      <c r="L420" s="79">
        <v>0</v>
      </c>
      <c r="M420" s="79">
        <v>0</v>
      </c>
      <c r="N420" s="324">
        <f t="shared" si="82"/>
        <v>0</v>
      </c>
      <c r="O420" s="137">
        <v>127</v>
      </c>
      <c r="P420" s="134">
        <v>152</v>
      </c>
      <c r="Q420" s="134">
        <v>144</v>
      </c>
      <c r="R420" s="203">
        <f>Q420+P420+O420</f>
        <v>423</v>
      </c>
      <c r="S420" s="308">
        <f t="shared" si="84"/>
        <v>423</v>
      </c>
    </row>
    <row r="421" spans="2:23" ht="16.5" thickBot="1">
      <c r="B421" s="135" t="s">
        <v>23</v>
      </c>
      <c r="C421" s="325">
        <f>C395+C396+C397+C398+C399+C400+C401+C402+C403+C405+C406+C407+C408+C409+C410+C411+C412+C413</f>
        <v>115</v>
      </c>
      <c r="D421" s="325">
        <f t="shared" ref="D421:H421" si="85">D395+D396+D397+D398+D399+D400+D401+D402+D403+D405+D406+D407+D408+D409+D410+D411+D412+D413</f>
        <v>345</v>
      </c>
      <c r="E421" s="325">
        <f t="shared" si="85"/>
        <v>426</v>
      </c>
      <c r="F421" s="325">
        <f t="shared" si="85"/>
        <v>439</v>
      </c>
      <c r="G421" s="325">
        <f t="shared" si="85"/>
        <v>402</v>
      </c>
      <c r="H421" s="325">
        <f t="shared" si="85"/>
        <v>395</v>
      </c>
      <c r="I421" s="325">
        <f>I395+I396+I397+I398+I399+I400+I401+I402+I403+I404+I405+I406+I407+I408+I409+I410+I411+I412+I413+I414+I415+I416</f>
        <v>2520</v>
      </c>
      <c r="J421" s="325">
        <f>J417+J418+J419</f>
        <v>601</v>
      </c>
      <c r="K421" s="325">
        <f t="shared" ref="K421:N421" si="86">K417+K418+K419</f>
        <v>462</v>
      </c>
      <c r="L421" s="325">
        <f t="shared" si="86"/>
        <v>285</v>
      </c>
      <c r="M421" s="325">
        <f t="shared" si="86"/>
        <v>201</v>
      </c>
      <c r="N421" s="325">
        <f t="shared" si="86"/>
        <v>1549</v>
      </c>
      <c r="O421" s="325">
        <f>O420</f>
        <v>127</v>
      </c>
      <c r="P421" s="325">
        <f t="shared" ref="P421:R421" si="87">P420</f>
        <v>152</v>
      </c>
      <c r="Q421" s="325">
        <f t="shared" si="87"/>
        <v>144</v>
      </c>
      <c r="R421" s="325">
        <f t="shared" si="87"/>
        <v>423</v>
      </c>
      <c r="S421" s="185">
        <f>S395+S396+S397+S398+S399+S400+S401+S402+S403+S404+S405+S406+S407+S408+S409+S410+S411+S412+S413+S414+S415+S416+S417+S418+S419+S420</f>
        <v>4492</v>
      </c>
    </row>
    <row r="422" spans="2:23" ht="15.75">
      <c r="B422" s="863" t="s">
        <v>4</v>
      </c>
      <c r="C422" s="863"/>
      <c r="D422" s="863"/>
      <c r="E422" s="863"/>
      <c r="F422" s="863"/>
      <c r="G422" s="863"/>
      <c r="H422" s="863"/>
      <c r="I422" s="863"/>
      <c r="J422" s="863"/>
      <c r="K422" s="863"/>
      <c r="L422" s="863"/>
      <c r="M422" s="863"/>
      <c r="N422" s="863"/>
      <c r="O422" s="863"/>
      <c r="P422" s="863"/>
      <c r="Q422" s="863"/>
      <c r="R422" s="863"/>
      <c r="S422" s="863"/>
    </row>
    <row r="423" spans="2:23" ht="15.75">
      <c r="B423" s="863" t="s">
        <v>211</v>
      </c>
      <c r="C423" s="863"/>
      <c r="D423" s="863"/>
      <c r="E423" s="863"/>
      <c r="F423" s="863"/>
      <c r="G423" s="863"/>
      <c r="H423" s="863"/>
      <c r="I423" s="863"/>
      <c r="J423" s="863"/>
      <c r="K423" s="863"/>
      <c r="L423" s="863"/>
      <c r="M423" s="863"/>
      <c r="N423" s="863"/>
      <c r="O423" s="863"/>
      <c r="P423" s="863"/>
      <c r="Q423" s="863"/>
      <c r="R423" s="863"/>
      <c r="S423" s="863"/>
    </row>
    <row r="424" spans="2:23" ht="15.75">
      <c r="B424" s="863" t="s">
        <v>219</v>
      </c>
      <c r="C424" s="863"/>
      <c r="D424" s="863"/>
      <c r="E424" s="863"/>
      <c r="F424" s="863"/>
      <c r="G424" s="863"/>
      <c r="H424" s="863"/>
      <c r="I424" s="863"/>
      <c r="J424" s="863"/>
      <c r="K424" s="863"/>
      <c r="L424" s="863"/>
      <c r="M424" s="863"/>
      <c r="N424" s="863"/>
      <c r="O424" s="863"/>
      <c r="P424" s="863"/>
      <c r="Q424" s="863"/>
      <c r="R424" s="863"/>
      <c r="S424" s="863"/>
    </row>
    <row r="425" spans="2:23" ht="16.5" thickBot="1">
      <c r="B425" s="104" t="s">
        <v>5</v>
      </c>
      <c r="C425" s="105"/>
      <c r="D425" s="105"/>
      <c r="E425" s="105"/>
      <c r="F425" s="865" t="s">
        <v>301</v>
      </c>
      <c r="G425" s="865"/>
      <c r="H425" s="865"/>
      <c r="I425" s="865"/>
      <c r="J425" s="865"/>
      <c r="K425" s="865"/>
      <c r="L425" s="865"/>
      <c r="M425" s="865"/>
      <c r="N425" s="865"/>
      <c r="O425" s="865"/>
      <c r="P425" s="864"/>
      <c r="Q425" s="864"/>
      <c r="R425" s="864"/>
      <c r="S425" s="56"/>
      <c r="W425" s="8"/>
    </row>
    <row r="426" spans="2:23">
      <c r="B426" s="866" t="s">
        <v>3</v>
      </c>
      <c r="C426" s="981" t="s">
        <v>6</v>
      </c>
      <c r="D426" s="982"/>
      <c r="E426" s="982"/>
      <c r="F426" s="982"/>
      <c r="G426" s="982"/>
      <c r="H426" s="982"/>
      <c r="I426" s="983"/>
      <c r="J426" s="987" t="s">
        <v>7</v>
      </c>
      <c r="K426" s="988"/>
      <c r="L426" s="988"/>
      <c r="M426" s="988"/>
      <c r="N426" s="989"/>
      <c r="O426" s="908" t="s">
        <v>8</v>
      </c>
      <c r="P426" s="993"/>
      <c r="Q426" s="993"/>
      <c r="R426" s="993"/>
      <c r="S426" s="905" t="s">
        <v>0</v>
      </c>
    </row>
    <row r="427" spans="2:23" ht="15.75" thickBot="1">
      <c r="B427" s="867"/>
      <c r="C427" s="984"/>
      <c r="D427" s="985"/>
      <c r="E427" s="985"/>
      <c r="F427" s="985"/>
      <c r="G427" s="985"/>
      <c r="H427" s="985"/>
      <c r="I427" s="986"/>
      <c r="J427" s="990"/>
      <c r="K427" s="991"/>
      <c r="L427" s="991"/>
      <c r="M427" s="991"/>
      <c r="N427" s="992"/>
      <c r="O427" s="910"/>
      <c r="P427" s="994"/>
      <c r="Q427" s="994"/>
      <c r="R427" s="994"/>
      <c r="S427" s="891"/>
    </row>
    <row r="428" spans="2:23" ht="16.5" thickBot="1">
      <c r="B428" s="868"/>
      <c r="C428" s="114" t="s">
        <v>10</v>
      </c>
      <c r="D428" s="115" t="s">
        <v>11</v>
      </c>
      <c r="E428" s="115" t="s">
        <v>12</v>
      </c>
      <c r="F428" s="115" t="s">
        <v>13</v>
      </c>
      <c r="G428" s="115" t="s">
        <v>14</v>
      </c>
      <c r="H428" s="116" t="s">
        <v>15</v>
      </c>
      <c r="I428" s="125" t="s">
        <v>16</v>
      </c>
      <c r="J428" s="118" t="s">
        <v>11</v>
      </c>
      <c r="K428" s="119" t="s">
        <v>12</v>
      </c>
      <c r="L428" s="119" t="s">
        <v>13</v>
      </c>
      <c r="M428" s="120" t="s">
        <v>14</v>
      </c>
      <c r="N428" s="202" t="s">
        <v>16</v>
      </c>
      <c r="O428" s="118" t="s">
        <v>11</v>
      </c>
      <c r="P428" s="120" t="s">
        <v>12</v>
      </c>
      <c r="Q428" s="119" t="s">
        <v>13</v>
      </c>
      <c r="R428" s="326" t="s">
        <v>16</v>
      </c>
      <c r="S428" s="892"/>
      <c r="U428" s="14" t="s">
        <v>220</v>
      </c>
    </row>
    <row r="429" spans="2:23" ht="16.5" thickBot="1">
      <c r="B429" s="70" t="s">
        <v>199</v>
      </c>
      <c r="C429" s="93">
        <v>18</v>
      </c>
      <c r="D429" s="184">
        <v>15</v>
      </c>
      <c r="E429" s="184">
        <v>31</v>
      </c>
      <c r="F429" s="184">
        <v>30</v>
      </c>
      <c r="G429" s="184">
        <v>35</v>
      </c>
      <c r="H429" s="144">
        <v>24</v>
      </c>
      <c r="I429" s="71">
        <f t="shared" ref="I429:I455" si="88">SUM(C429:H429)</f>
        <v>153</v>
      </c>
      <c r="J429" s="73">
        <v>0</v>
      </c>
      <c r="K429" s="73">
        <v>0</v>
      </c>
      <c r="L429" s="73">
        <v>0</v>
      </c>
      <c r="M429" s="73">
        <v>0</v>
      </c>
      <c r="N429" s="86">
        <f t="shared" ref="N429:N455" si="89">SUM(J429:M429)</f>
        <v>0</v>
      </c>
      <c r="O429" s="73">
        <v>0</v>
      </c>
      <c r="P429" s="73">
        <v>0</v>
      </c>
      <c r="Q429" s="74">
        <v>0</v>
      </c>
      <c r="R429" s="327">
        <f t="shared" ref="R429:R456" si="90">SUM(O429:Q429)</f>
        <v>0</v>
      </c>
      <c r="S429" s="328">
        <f t="shared" ref="S429:S456" si="91">R429+N429+I429</f>
        <v>153</v>
      </c>
      <c r="U429" s="8"/>
    </row>
    <row r="430" spans="2:23" ht="16.5" thickBot="1">
      <c r="B430" s="77" t="s">
        <v>200</v>
      </c>
      <c r="C430" s="93">
        <v>0</v>
      </c>
      <c r="D430" s="184">
        <v>12</v>
      </c>
      <c r="E430" s="184">
        <v>8</v>
      </c>
      <c r="F430" s="184">
        <v>12</v>
      </c>
      <c r="G430" s="184">
        <v>15</v>
      </c>
      <c r="H430" s="144">
        <v>13</v>
      </c>
      <c r="I430" s="71">
        <f t="shared" si="88"/>
        <v>60</v>
      </c>
      <c r="J430" s="79">
        <v>0</v>
      </c>
      <c r="K430" s="79">
        <v>0</v>
      </c>
      <c r="L430" s="79">
        <v>0</v>
      </c>
      <c r="M430" s="79">
        <v>0</v>
      </c>
      <c r="N430" s="305">
        <f t="shared" si="89"/>
        <v>0</v>
      </c>
      <c r="O430" s="79">
        <v>0</v>
      </c>
      <c r="P430" s="79">
        <v>0</v>
      </c>
      <c r="Q430" s="80">
        <v>0</v>
      </c>
      <c r="R430" s="329">
        <f t="shared" si="90"/>
        <v>0</v>
      </c>
      <c r="S430" s="185">
        <f t="shared" si="91"/>
        <v>60</v>
      </c>
      <c r="U430" s="8"/>
    </row>
    <row r="431" spans="2:23" ht="16.5" thickBot="1">
      <c r="B431" s="77" t="s">
        <v>201</v>
      </c>
      <c r="C431" s="93">
        <v>0</v>
      </c>
      <c r="D431" s="184">
        <v>5</v>
      </c>
      <c r="E431" s="184">
        <v>21</v>
      </c>
      <c r="F431" s="184">
        <v>16</v>
      </c>
      <c r="G431" s="184">
        <v>13</v>
      </c>
      <c r="H431" s="144">
        <v>13</v>
      </c>
      <c r="I431" s="71">
        <f t="shared" si="88"/>
        <v>68</v>
      </c>
      <c r="J431" s="79">
        <v>0</v>
      </c>
      <c r="K431" s="79">
        <v>0</v>
      </c>
      <c r="L431" s="79">
        <v>0</v>
      </c>
      <c r="M431" s="79">
        <v>0</v>
      </c>
      <c r="N431" s="305">
        <f t="shared" si="89"/>
        <v>0</v>
      </c>
      <c r="O431" s="79">
        <v>0</v>
      </c>
      <c r="P431" s="79">
        <v>0</v>
      </c>
      <c r="Q431" s="80">
        <v>0</v>
      </c>
      <c r="R431" s="329">
        <f t="shared" si="90"/>
        <v>0</v>
      </c>
      <c r="S431" s="185">
        <f t="shared" si="91"/>
        <v>68</v>
      </c>
      <c r="U431" s="8"/>
    </row>
    <row r="432" spans="2:23" ht="16.5" thickBot="1">
      <c r="B432" s="77" t="s">
        <v>202</v>
      </c>
      <c r="C432" s="93">
        <v>0</v>
      </c>
      <c r="D432" s="184">
        <v>4</v>
      </c>
      <c r="E432" s="184">
        <v>11</v>
      </c>
      <c r="F432" s="184">
        <v>12</v>
      </c>
      <c r="G432" s="184">
        <v>9</v>
      </c>
      <c r="H432" s="144">
        <v>9</v>
      </c>
      <c r="I432" s="71">
        <f t="shared" si="88"/>
        <v>45</v>
      </c>
      <c r="J432" s="79">
        <v>0</v>
      </c>
      <c r="K432" s="79">
        <v>0</v>
      </c>
      <c r="L432" s="79">
        <v>0</v>
      </c>
      <c r="M432" s="79">
        <v>0</v>
      </c>
      <c r="N432" s="305">
        <f t="shared" si="89"/>
        <v>0</v>
      </c>
      <c r="O432" s="79">
        <v>0</v>
      </c>
      <c r="P432" s="79">
        <v>0</v>
      </c>
      <c r="Q432" s="80">
        <v>0</v>
      </c>
      <c r="R432" s="329">
        <f t="shared" si="90"/>
        <v>0</v>
      </c>
      <c r="S432" s="185">
        <f t="shared" si="91"/>
        <v>45</v>
      </c>
      <c r="U432" s="8"/>
    </row>
    <row r="433" spans="2:21" ht="16.5" thickBot="1">
      <c r="B433" s="126" t="s">
        <v>32</v>
      </c>
      <c r="C433" s="93">
        <v>25</v>
      </c>
      <c r="D433" s="184">
        <v>27</v>
      </c>
      <c r="E433" s="184">
        <v>32</v>
      </c>
      <c r="F433" s="184">
        <v>28</v>
      </c>
      <c r="G433" s="184">
        <v>24</v>
      </c>
      <c r="H433" s="144">
        <v>0</v>
      </c>
      <c r="I433" s="169">
        <f t="shared" si="88"/>
        <v>136</v>
      </c>
      <c r="J433" s="79"/>
      <c r="K433" s="79"/>
      <c r="L433" s="79"/>
      <c r="M433" s="79"/>
      <c r="N433" s="305"/>
      <c r="O433" s="79"/>
      <c r="P433" s="79"/>
      <c r="Q433" s="80"/>
      <c r="R433" s="329"/>
      <c r="S433" s="185">
        <f t="shared" si="91"/>
        <v>136</v>
      </c>
      <c r="U433" s="8"/>
    </row>
    <row r="434" spans="2:21" ht="16.5" thickBot="1">
      <c r="B434" s="77" t="s">
        <v>241</v>
      </c>
      <c r="C434" s="93">
        <v>0</v>
      </c>
      <c r="D434" s="184">
        <v>3</v>
      </c>
      <c r="E434" s="184">
        <v>6</v>
      </c>
      <c r="F434" s="184">
        <v>5</v>
      </c>
      <c r="G434" s="184">
        <v>4</v>
      </c>
      <c r="H434" s="144">
        <v>4</v>
      </c>
      <c r="I434" s="82">
        <f t="shared" si="88"/>
        <v>22</v>
      </c>
      <c r="J434" s="79"/>
      <c r="K434" s="79"/>
      <c r="L434" s="79"/>
      <c r="M434" s="79"/>
      <c r="N434" s="305"/>
      <c r="O434" s="79"/>
      <c r="P434" s="79"/>
      <c r="Q434" s="80"/>
      <c r="R434" s="329"/>
      <c r="S434" s="185">
        <f t="shared" si="91"/>
        <v>22</v>
      </c>
      <c r="U434" s="8"/>
    </row>
    <row r="435" spans="2:21" s="37" customFormat="1" ht="16.5" thickBot="1">
      <c r="B435" s="252" t="s">
        <v>271</v>
      </c>
      <c r="C435" s="129">
        <v>0</v>
      </c>
      <c r="D435" s="330">
        <v>15</v>
      </c>
      <c r="E435" s="330">
        <v>9</v>
      </c>
      <c r="F435" s="330">
        <v>10</v>
      </c>
      <c r="G435" s="330">
        <v>6</v>
      </c>
      <c r="H435" s="151">
        <v>10</v>
      </c>
      <c r="I435" s="82">
        <f t="shared" si="88"/>
        <v>50</v>
      </c>
      <c r="J435" s="79"/>
      <c r="K435" s="79"/>
      <c r="L435" s="79"/>
      <c r="M435" s="79"/>
      <c r="N435" s="305"/>
      <c r="O435" s="79"/>
      <c r="P435" s="79"/>
      <c r="Q435" s="80"/>
      <c r="R435" s="329"/>
      <c r="S435" s="185">
        <f t="shared" si="91"/>
        <v>50</v>
      </c>
      <c r="U435" s="35"/>
    </row>
    <row r="436" spans="2:21" ht="16.5" thickBot="1">
      <c r="B436" s="128" t="s">
        <v>283</v>
      </c>
      <c r="C436" s="139">
        <v>29</v>
      </c>
      <c r="D436" s="331">
        <v>31</v>
      </c>
      <c r="E436" s="331">
        <v>37</v>
      </c>
      <c r="F436" s="331">
        <v>46</v>
      </c>
      <c r="G436" s="331">
        <v>45</v>
      </c>
      <c r="H436" s="332">
        <v>49</v>
      </c>
      <c r="I436" s="82">
        <f t="shared" si="88"/>
        <v>237</v>
      </c>
      <c r="J436" s="79"/>
      <c r="K436" s="79"/>
      <c r="L436" s="79"/>
      <c r="M436" s="79"/>
      <c r="N436" s="305"/>
      <c r="O436" s="79"/>
      <c r="P436" s="79"/>
      <c r="Q436" s="80"/>
      <c r="R436" s="329"/>
      <c r="S436" s="185">
        <f t="shared" si="91"/>
        <v>237</v>
      </c>
      <c r="U436" s="8"/>
    </row>
    <row r="437" spans="2:21" ht="16.5" thickBot="1">
      <c r="B437" s="333" t="s">
        <v>203</v>
      </c>
      <c r="C437" s="334"/>
      <c r="D437" s="334"/>
      <c r="E437" s="334"/>
      <c r="F437" s="334"/>
      <c r="G437" s="334"/>
      <c r="H437" s="334"/>
      <c r="I437" s="335"/>
      <c r="J437" s="336">
        <v>231</v>
      </c>
      <c r="K437" s="337">
        <v>148</v>
      </c>
      <c r="L437" s="337">
        <v>77</v>
      </c>
      <c r="M437" s="338">
        <v>38</v>
      </c>
      <c r="N437" s="136">
        <f t="shared" si="89"/>
        <v>494</v>
      </c>
      <c r="O437" s="79">
        <v>0</v>
      </c>
      <c r="P437" s="79">
        <v>0</v>
      </c>
      <c r="Q437" s="80">
        <v>0</v>
      </c>
      <c r="R437" s="329">
        <f t="shared" si="90"/>
        <v>0</v>
      </c>
      <c r="S437" s="185">
        <f t="shared" si="91"/>
        <v>494</v>
      </c>
      <c r="U437" s="8"/>
    </row>
    <row r="438" spans="2:21" ht="15.75">
      <c r="B438" s="957"/>
      <c r="C438" s="78">
        <v>0</v>
      </c>
      <c r="D438" s="79">
        <v>0</v>
      </c>
      <c r="E438" s="79">
        <v>0</v>
      </c>
      <c r="F438" s="79">
        <v>0</v>
      </c>
      <c r="G438" s="79">
        <v>0</v>
      </c>
      <c r="H438" s="79">
        <v>0</v>
      </c>
      <c r="I438" s="339">
        <f t="shared" si="88"/>
        <v>0</v>
      </c>
      <c r="J438" s="79">
        <v>0</v>
      </c>
      <c r="K438" s="79">
        <v>0</v>
      </c>
      <c r="L438" s="79">
        <v>0</v>
      </c>
      <c r="M438" s="79">
        <v>0</v>
      </c>
      <c r="N438" s="305"/>
      <c r="O438" s="79">
        <v>0</v>
      </c>
      <c r="P438" s="79">
        <v>0</v>
      </c>
      <c r="Q438" s="80">
        <v>0</v>
      </c>
      <c r="R438" s="329">
        <f t="shared" si="90"/>
        <v>0</v>
      </c>
      <c r="S438" s="340">
        <f t="shared" si="91"/>
        <v>0</v>
      </c>
    </row>
    <row r="439" spans="2:21" ht="15.75">
      <c r="B439" s="958"/>
      <c r="C439" s="78">
        <v>0</v>
      </c>
      <c r="D439" s="79">
        <v>0</v>
      </c>
      <c r="E439" s="79">
        <v>0</v>
      </c>
      <c r="F439" s="79">
        <v>0</v>
      </c>
      <c r="G439" s="79">
        <v>0</v>
      </c>
      <c r="H439" s="79">
        <v>0</v>
      </c>
      <c r="I439" s="339">
        <f t="shared" si="88"/>
        <v>0</v>
      </c>
      <c r="J439" s="79">
        <v>0</v>
      </c>
      <c r="K439" s="79">
        <v>0</v>
      </c>
      <c r="L439" s="79">
        <v>0</v>
      </c>
      <c r="M439" s="79">
        <v>0</v>
      </c>
      <c r="N439" s="341"/>
      <c r="O439" s="79">
        <v>0</v>
      </c>
      <c r="P439" s="79">
        <v>0</v>
      </c>
      <c r="Q439" s="80">
        <v>0</v>
      </c>
      <c r="R439" s="329">
        <f t="shared" si="90"/>
        <v>0</v>
      </c>
      <c r="S439" s="340">
        <f t="shared" si="91"/>
        <v>0</v>
      </c>
    </row>
    <row r="440" spans="2:21" ht="15.75">
      <c r="B440" s="958"/>
      <c r="C440" s="78">
        <v>0</v>
      </c>
      <c r="D440" s="79">
        <v>0</v>
      </c>
      <c r="E440" s="79">
        <v>0</v>
      </c>
      <c r="F440" s="79">
        <v>0</v>
      </c>
      <c r="G440" s="79">
        <v>0</v>
      </c>
      <c r="H440" s="79">
        <v>0</v>
      </c>
      <c r="I440" s="339">
        <f t="shared" si="88"/>
        <v>0</v>
      </c>
      <c r="J440" s="79">
        <v>0</v>
      </c>
      <c r="K440" s="79">
        <v>0</v>
      </c>
      <c r="L440" s="79">
        <v>0</v>
      </c>
      <c r="M440" s="79">
        <v>0</v>
      </c>
      <c r="N440" s="305">
        <f t="shared" si="89"/>
        <v>0</v>
      </c>
      <c r="O440" s="79">
        <v>0</v>
      </c>
      <c r="P440" s="79">
        <v>0</v>
      </c>
      <c r="Q440" s="80">
        <v>0</v>
      </c>
      <c r="R440" s="329">
        <f t="shared" si="90"/>
        <v>0</v>
      </c>
      <c r="S440" s="340">
        <f t="shared" si="91"/>
        <v>0</v>
      </c>
    </row>
    <row r="441" spans="2:21" ht="15.75">
      <c r="B441" s="958"/>
      <c r="C441" s="78">
        <v>0</v>
      </c>
      <c r="D441" s="79">
        <v>0</v>
      </c>
      <c r="E441" s="79">
        <v>0</v>
      </c>
      <c r="F441" s="79">
        <v>0</v>
      </c>
      <c r="G441" s="79">
        <v>0</v>
      </c>
      <c r="H441" s="79">
        <v>0</v>
      </c>
      <c r="I441" s="339">
        <f t="shared" si="88"/>
        <v>0</v>
      </c>
      <c r="J441" s="79">
        <v>0</v>
      </c>
      <c r="K441" s="79">
        <v>0</v>
      </c>
      <c r="L441" s="79">
        <v>0</v>
      </c>
      <c r="M441" s="79">
        <v>0</v>
      </c>
      <c r="N441" s="305">
        <f t="shared" si="89"/>
        <v>0</v>
      </c>
      <c r="O441" s="79">
        <v>0</v>
      </c>
      <c r="P441" s="79">
        <v>0</v>
      </c>
      <c r="Q441" s="80">
        <v>0</v>
      </c>
      <c r="R441" s="329">
        <f t="shared" si="90"/>
        <v>0</v>
      </c>
      <c r="S441" s="340">
        <f t="shared" si="91"/>
        <v>0</v>
      </c>
    </row>
    <row r="442" spans="2:21" ht="15.75">
      <c r="B442" s="958"/>
      <c r="C442" s="78">
        <v>0</v>
      </c>
      <c r="D442" s="130">
        <v>0</v>
      </c>
      <c r="E442" s="79">
        <v>0</v>
      </c>
      <c r="F442" s="79">
        <v>0</v>
      </c>
      <c r="G442" s="79">
        <v>0</v>
      </c>
      <c r="H442" s="79">
        <v>0</v>
      </c>
      <c r="I442" s="339">
        <f t="shared" si="88"/>
        <v>0</v>
      </c>
      <c r="J442" s="79">
        <v>0</v>
      </c>
      <c r="K442" s="79">
        <v>0</v>
      </c>
      <c r="L442" s="79">
        <v>0</v>
      </c>
      <c r="M442" s="79">
        <v>0</v>
      </c>
      <c r="N442" s="305">
        <f t="shared" si="89"/>
        <v>0</v>
      </c>
      <c r="O442" s="79">
        <v>0</v>
      </c>
      <c r="P442" s="79">
        <v>0</v>
      </c>
      <c r="Q442" s="80">
        <v>0</v>
      </c>
      <c r="R442" s="329">
        <f t="shared" si="90"/>
        <v>0</v>
      </c>
      <c r="S442" s="340">
        <f t="shared" si="91"/>
        <v>0</v>
      </c>
    </row>
    <row r="443" spans="2:21" ht="15.75">
      <c r="B443" s="958"/>
      <c r="C443" s="78">
        <v>0</v>
      </c>
      <c r="D443" s="79">
        <v>0</v>
      </c>
      <c r="E443" s="79">
        <v>0</v>
      </c>
      <c r="F443" s="79">
        <v>0</v>
      </c>
      <c r="G443" s="79">
        <v>0</v>
      </c>
      <c r="H443" s="79">
        <v>0</v>
      </c>
      <c r="I443" s="339">
        <f t="shared" si="88"/>
        <v>0</v>
      </c>
      <c r="J443" s="79">
        <v>0</v>
      </c>
      <c r="K443" s="79">
        <v>0</v>
      </c>
      <c r="L443" s="79">
        <v>0</v>
      </c>
      <c r="M443" s="79">
        <v>0</v>
      </c>
      <c r="N443" s="305">
        <f t="shared" si="89"/>
        <v>0</v>
      </c>
      <c r="O443" s="79">
        <v>0</v>
      </c>
      <c r="P443" s="79">
        <v>0</v>
      </c>
      <c r="Q443" s="80">
        <v>0</v>
      </c>
      <c r="R443" s="329">
        <f t="shared" si="90"/>
        <v>0</v>
      </c>
      <c r="S443" s="340">
        <f t="shared" si="91"/>
        <v>0</v>
      </c>
    </row>
    <row r="444" spans="2:21" ht="15.75">
      <c r="B444" s="958"/>
      <c r="C444" s="78">
        <v>0</v>
      </c>
      <c r="D444" s="79">
        <v>0</v>
      </c>
      <c r="E444" s="79">
        <v>0</v>
      </c>
      <c r="F444" s="79">
        <v>0</v>
      </c>
      <c r="G444" s="79">
        <v>0</v>
      </c>
      <c r="H444" s="79">
        <v>0</v>
      </c>
      <c r="I444" s="339">
        <f t="shared" si="88"/>
        <v>0</v>
      </c>
      <c r="J444" s="79">
        <v>0</v>
      </c>
      <c r="K444" s="79">
        <v>0</v>
      </c>
      <c r="L444" s="79">
        <v>0</v>
      </c>
      <c r="M444" s="79">
        <v>0</v>
      </c>
      <c r="N444" s="305">
        <f t="shared" si="89"/>
        <v>0</v>
      </c>
      <c r="O444" s="79">
        <v>0</v>
      </c>
      <c r="P444" s="79">
        <v>0</v>
      </c>
      <c r="Q444" s="80">
        <v>0</v>
      </c>
      <c r="R444" s="329">
        <f t="shared" si="90"/>
        <v>0</v>
      </c>
      <c r="S444" s="340">
        <f t="shared" si="91"/>
        <v>0</v>
      </c>
    </row>
    <row r="445" spans="2:21" ht="15.75">
      <c r="B445" s="958"/>
      <c r="C445" s="78">
        <v>0</v>
      </c>
      <c r="D445" s="79">
        <v>0</v>
      </c>
      <c r="E445" s="79">
        <v>0</v>
      </c>
      <c r="F445" s="79">
        <v>0</v>
      </c>
      <c r="G445" s="79">
        <v>0</v>
      </c>
      <c r="H445" s="79">
        <v>0</v>
      </c>
      <c r="I445" s="339">
        <f t="shared" si="88"/>
        <v>0</v>
      </c>
      <c r="J445" s="79">
        <v>0</v>
      </c>
      <c r="K445" s="79">
        <v>0</v>
      </c>
      <c r="L445" s="79">
        <v>0</v>
      </c>
      <c r="M445" s="79">
        <v>0</v>
      </c>
      <c r="N445" s="305">
        <f t="shared" si="89"/>
        <v>0</v>
      </c>
      <c r="O445" s="79">
        <v>0</v>
      </c>
      <c r="P445" s="79">
        <v>0</v>
      </c>
      <c r="Q445" s="80">
        <v>0</v>
      </c>
      <c r="R445" s="329">
        <f t="shared" si="90"/>
        <v>0</v>
      </c>
      <c r="S445" s="340">
        <f t="shared" si="91"/>
        <v>0</v>
      </c>
    </row>
    <row r="446" spans="2:21" ht="15.75">
      <c r="B446" s="958"/>
      <c r="C446" s="78">
        <v>0</v>
      </c>
      <c r="D446" s="79">
        <v>0</v>
      </c>
      <c r="E446" s="79">
        <v>0</v>
      </c>
      <c r="F446" s="79">
        <v>0</v>
      </c>
      <c r="G446" s="79">
        <v>0</v>
      </c>
      <c r="H446" s="79">
        <v>0</v>
      </c>
      <c r="I446" s="339">
        <f t="shared" si="88"/>
        <v>0</v>
      </c>
      <c r="J446" s="79">
        <v>0</v>
      </c>
      <c r="K446" s="79">
        <v>0</v>
      </c>
      <c r="L446" s="79">
        <v>0</v>
      </c>
      <c r="M446" s="79">
        <v>0</v>
      </c>
      <c r="N446" s="305">
        <f t="shared" si="89"/>
        <v>0</v>
      </c>
      <c r="O446" s="79">
        <v>0</v>
      </c>
      <c r="P446" s="79">
        <v>0</v>
      </c>
      <c r="Q446" s="80">
        <v>0</v>
      </c>
      <c r="R446" s="329">
        <f t="shared" si="90"/>
        <v>0</v>
      </c>
      <c r="S446" s="340">
        <f t="shared" si="91"/>
        <v>0</v>
      </c>
    </row>
    <row r="447" spans="2:21" ht="15.75">
      <c r="B447" s="958"/>
      <c r="C447" s="78">
        <v>0</v>
      </c>
      <c r="D447" s="79">
        <v>0</v>
      </c>
      <c r="E447" s="79">
        <v>0</v>
      </c>
      <c r="F447" s="79">
        <v>0</v>
      </c>
      <c r="G447" s="79">
        <v>0</v>
      </c>
      <c r="H447" s="79">
        <v>0</v>
      </c>
      <c r="I447" s="339">
        <f t="shared" si="88"/>
        <v>0</v>
      </c>
      <c r="J447" s="79">
        <v>0</v>
      </c>
      <c r="K447" s="79">
        <v>0</v>
      </c>
      <c r="L447" s="79">
        <v>0</v>
      </c>
      <c r="M447" s="79">
        <v>0</v>
      </c>
      <c r="N447" s="305">
        <f t="shared" si="89"/>
        <v>0</v>
      </c>
      <c r="O447" s="79">
        <v>0</v>
      </c>
      <c r="P447" s="79">
        <v>0</v>
      </c>
      <c r="Q447" s="80">
        <v>0</v>
      </c>
      <c r="R447" s="329">
        <f t="shared" si="90"/>
        <v>0</v>
      </c>
      <c r="S447" s="340">
        <f t="shared" si="91"/>
        <v>0</v>
      </c>
    </row>
    <row r="448" spans="2:21" ht="15.75">
      <c r="B448" s="958"/>
      <c r="C448" s="78">
        <v>0</v>
      </c>
      <c r="D448" s="79">
        <v>0</v>
      </c>
      <c r="E448" s="79">
        <v>0</v>
      </c>
      <c r="F448" s="79">
        <v>0</v>
      </c>
      <c r="G448" s="79">
        <v>0</v>
      </c>
      <c r="H448" s="79">
        <v>0</v>
      </c>
      <c r="I448" s="339">
        <f t="shared" si="88"/>
        <v>0</v>
      </c>
      <c r="J448" s="79">
        <v>0</v>
      </c>
      <c r="K448" s="79">
        <v>0</v>
      </c>
      <c r="L448" s="79">
        <v>0</v>
      </c>
      <c r="M448" s="79">
        <v>0</v>
      </c>
      <c r="N448" s="305">
        <f t="shared" si="89"/>
        <v>0</v>
      </c>
      <c r="O448" s="79">
        <v>0</v>
      </c>
      <c r="P448" s="79">
        <v>0</v>
      </c>
      <c r="Q448" s="80">
        <v>0</v>
      </c>
      <c r="R448" s="329">
        <f t="shared" si="90"/>
        <v>0</v>
      </c>
      <c r="S448" s="340">
        <f t="shared" si="91"/>
        <v>0</v>
      </c>
    </row>
    <row r="449" spans="2:19" ht="15.75">
      <c r="B449" s="958"/>
      <c r="C449" s="78">
        <v>0</v>
      </c>
      <c r="D449" s="79">
        <v>0</v>
      </c>
      <c r="E449" s="79">
        <v>0</v>
      </c>
      <c r="F449" s="79">
        <v>0</v>
      </c>
      <c r="G449" s="79">
        <v>0</v>
      </c>
      <c r="H449" s="79">
        <v>0</v>
      </c>
      <c r="I449" s="339">
        <f t="shared" si="88"/>
        <v>0</v>
      </c>
      <c r="J449" s="79">
        <v>0</v>
      </c>
      <c r="K449" s="79">
        <v>0</v>
      </c>
      <c r="L449" s="79">
        <v>0</v>
      </c>
      <c r="M449" s="79">
        <v>0</v>
      </c>
      <c r="N449" s="305">
        <f t="shared" si="89"/>
        <v>0</v>
      </c>
      <c r="O449" s="79">
        <v>0</v>
      </c>
      <c r="P449" s="79">
        <v>0</v>
      </c>
      <c r="Q449" s="80">
        <v>0</v>
      </c>
      <c r="R449" s="329">
        <f t="shared" si="90"/>
        <v>0</v>
      </c>
      <c r="S449" s="340">
        <f t="shared" si="91"/>
        <v>0</v>
      </c>
    </row>
    <row r="450" spans="2:19" ht="15.75">
      <c r="B450" s="958"/>
      <c r="C450" s="78">
        <v>0</v>
      </c>
      <c r="D450" s="79">
        <v>0</v>
      </c>
      <c r="E450" s="79">
        <v>0</v>
      </c>
      <c r="F450" s="79">
        <v>0</v>
      </c>
      <c r="G450" s="79">
        <v>0</v>
      </c>
      <c r="H450" s="79">
        <v>0</v>
      </c>
      <c r="I450" s="339">
        <f t="shared" si="88"/>
        <v>0</v>
      </c>
      <c r="J450" s="79">
        <v>0</v>
      </c>
      <c r="K450" s="79">
        <v>0</v>
      </c>
      <c r="L450" s="79">
        <v>0</v>
      </c>
      <c r="M450" s="79">
        <v>0</v>
      </c>
      <c r="N450" s="305">
        <f t="shared" si="89"/>
        <v>0</v>
      </c>
      <c r="O450" s="79">
        <v>0</v>
      </c>
      <c r="P450" s="79">
        <v>0</v>
      </c>
      <c r="Q450" s="80">
        <v>0</v>
      </c>
      <c r="R450" s="329">
        <f t="shared" si="90"/>
        <v>0</v>
      </c>
      <c r="S450" s="340">
        <f t="shared" si="91"/>
        <v>0</v>
      </c>
    </row>
    <row r="451" spans="2:19" ht="15.75">
      <c r="B451" s="958"/>
      <c r="C451" s="78">
        <v>0</v>
      </c>
      <c r="D451" s="79">
        <v>0</v>
      </c>
      <c r="E451" s="79">
        <v>0</v>
      </c>
      <c r="F451" s="79">
        <v>0</v>
      </c>
      <c r="G451" s="79">
        <v>0</v>
      </c>
      <c r="H451" s="79">
        <v>0</v>
      </c>
      <c r="I451" s="339">
        <f t="shared" si="88"/>
        <v>0</v>
      </c>
      <c r="J451" s="79">
        <v>0</v>
      </c>
      <c r="K451" s="79">
        <v>0</v>
      </c>
      <c r="L451" s="79">
        <v>0</v>
      </c>
      <c r="M451" s="79">
        <v>0</v>
      </c>
      <c r="N451" s="305">
        <f t="shared" si="89"/>
        <v>0</v>
      </c>
      <c r="O451" s="79">
        <v>0</v>
      </c>
      <c r="P451" s="79">
        <v>0</v>
      </c>
      <c r="Q451" s="80">
        <v>0</v>
      </c>
      <c r="R451" s="329">
        <f t="shared" si="90"/>
        <v>0</v>
      </c>
      <c r="S451" s="340">
        <f t="shared" si="91"/>
        <v>0</v>
      </c>
    </row>
    <row r="452" spans="2:19" ht="15.75">
      <c r="B452" s="958"/>
      <c r="C452" s="78">
        <v>0</v>
      </c>
      <c r="D452" s="79">
        <v>0</v>
      </c>
      <c r="E452" s="79">
        <v>0</v>
      </c>
      <c r="F452" s="79">
        <v>0</v>
      </c>
      <c r="G452" s="79">
        <v>0</v>
      </c>
      <c r="H452" s="79">
        <v>0</v>
      </c>
      <c r="I452" s="339">
        <f t="shared" si="88"/>
        <v>0</v>
      </c>
      <c r="J452" s="79">
        <v>0</v>
      </c>
      <c r="K452" s="79">
        <v>0</v>
      </c>
      <c r="L452" s="79">
        <v>0</v>
      </c>
      <c r="M452" s="79">
        <v>0</v>
      </c>
      <c r="N452" s="305">
        <f t="shared" si="89"/>
        <v>0</v>
      </c>
      <c r="O452" s="79">
        <v>0</v>
      </c>
      <c r="P452" s="79">
        <v>0</v>
      </c>
      <c r="Q452" s="80">
        <v>0</v>
      </c>
      <c r="R452" s="329">
        <f t="shared" si="90"/>
        <v>0</v>
      </c>
      <c r="S452" s="340">
        <f t="shared" si="91"/>
        <v>0</v>
      </c>
    </row>
    <row r="453" spans="2:19" ht="15.75">
      <c r="B453" s="958"/>
      <c r="C453" s="78">
        <v>0</v>
      </c>
      <c r="D453" s="79">
        <v>0</v>
      </c>
      <c r="E453" s="79">
        <v>0</v>
      </c>
      <c r="F453" s="79">
        <v>0</v>
      </c>
      <c r="G453" s="79">
        <v>0</v>
      </c>
      <c r="H453" s="79">
        <v>0</v>
      </c>
      <c r="I453" s="339">
        <f t="shared" si="88"/>
        <v>0</v>
      </c>
      <c r="J453" s="79">
        <v>0</v>
      </c>
      <c r="K453" s="79">
        <v>0</v>
      </c>
      <c r="L453" s="79">
        <v>0</v>
      </c>
      <c r="M453" s="79">
        <v>0</v>
      </c>
      <c r="N453" s="305">
        <f t="shared" si="89"/>
        <v>0</v>
      </c>
      <c r="O453" s="79">
        <v>0</v>
      </c>
      <c r="P453" s="79">
        <v>0</v>
      </c>
      <c r="Q453" s="80">
        <v>0</v>
      </c>
      <c r="R453" s="329">
        <f t="shared" si="90"/>
        <v>0</v>
      </c>
      <c r="S453" s="340">
        <f t="shared" si="91"/>
        <v>0</v>
      </c>
    </row>
    <row r="454" spans="2:19" ht="15.75">
      <c r="B454" s="958"/>
      <c r="C454" s="78">
        <v>0</v>
      </c>
      <c r="D454" s="79">
        <v>0</v>
      </c>
      <c r="E454" s="79">
        <v>0</v>
      </c>
      <c r="F454" s="79">
        <v>0</v>
      </c>
      <c r="G454" s="79">
        <v>0</v>
      </c>
      <c r="H454" s="79">
        <v>0</v>
      </c>
      <c r="I454" s="339">
        <f t="shared" si="88"/>
        <v>0</v>
      </c>
      <c r="J454" s="79">
        <v>0</v>
      </c>
      <c r="K454" s="79">
        <v>0</v>
      </c>
      <c r="L454" s="79">
        <v>0</v>
      </c>
      <c r="M454" s="79">
        <v>0</v>
      </c>
      <c r="N454" s="305">
        <f t="shared" si="89"/>
        <v>0</v>
      </c>
      <c r="O454" s="79">
        <v>0</v>
      </c>
      <c r="P454" s="79">
        <v>0</v>
      </c>
      <c r="Q454" s="80">
        <v>0</v>
      </c>
      <c r="R454" s="329">
        <f t="shared" si="90"/>
        <v>0</v>
      </c>
      <c r="S454" s="340">
        <f t="shared" si="91"/>
        <v>0</v>
      </c>
    </row>
    <row r="455" spans="2:19" ht="16.5" thickBot="1">
      <c r="B455" s="995"/>
      <c r="C455" s="83">
        <v>0</v>
      </c>
      <c r="D455" s="84">
        <v>0</v>
      </c>
      <c r="E455" s="84">
        <v>0</v>
      </c>
      <c r="F455" s="84">
        <v>0</v>
      </c>
      <c r="G455" s="84">
        <v>0</v>
      </c>
      <c r="H455" s="84">
        <v>0</v>
      </c>
      <c r="I455" s="342">
        <f t="shared" si="88"/>
        <v>0</v>
      </c>
      <c r="J455" s="84">
        <v>0</v>
      </c>
      <c r="K455" s="84">
        <v>0</v>
      </c>
      <c r="L455" s="84">
        <v>0</v>
      </c>
      <c r="M455" s="84">
        <v>0</v>
      </c>
      <c r="N455" s="88">
        <f t="shared" si="89"/>
        <v>0</v>
      </c>
      <c r="O455" s="84">
        <v>0</v>
      </c>
      <c r="P455" s="84">
        <v>0</v>
      </c>
      <c r="Q455" s="85">
        <v>0</v>
      </c>
      <c r="R455" s="343">
        <f t="shared" si="90"/>
        <v>0</v>
      </c>
      <c r="S455" s="344">
        <f t="shared" si="91"/>
        <v>0</v>
      </c>
    </row>
    <row r="456" spans="2:19" ht="16.5" thickBot="1">
      <c r="B456" s="135" t="s">
        <v>23</v>
      </c>
      <c r="C456" s="708">
        <f>C429+C430+C431+C432+C433+C434+C436</f>
        <v>72</v>
      </c>
      <c r="D456" s="708">
        <f t="shared" ref="D456:H456" si="92">D429+D430+D431+D432+D433+D434+D436</f>
        <v>97</v>
      </c>
      <c r="E456" s="708">
        <f t="shared" si="92"/>
        <v>146</v>
      </c>
      <c r="F456" s="708">
        <f t="shared" si="92"/>
        <v>149</v>
      </c>
      <c r="G456" s="708">
        <f t="shared" si="92"/>
        <v>145</v>
      </c>
      <c r="H456" s="708">
        <f t="shared" si="92"/>
        <v>112</v>
      </c>
      <c r="I456" s="708">
        <f>I429+I430+I431+I432+I433+I434+I435+I436</f>
        <v>771</v>
      </c>
      <c r="J456" s="708">
        <f>J437</f>
        <v>231</v>
      </c>
      <c r="K456" s="708">
        <f t="shared" ref="K456:N456" si="93">K437</f>
        <v>148</v>
      </c>
      <c r="L456" s="708">
        <f t="shared" si="93"/>
        <v>77</v>
      </c>
      <c r="M456" s="708">
        <f t="shared" si="93"/>
        <v>38</v>
      </c>
      <c r="N456" s="708">
        <f t="shared" si="93"/>
        <v>494</v>
      </c>
      <c r="O456" s="206">
        <f>SUM(O429:O455)</f>
        <v>0</v>
      </c>
      <c r="P456" s="232">
        <f>SUM(P429:P455)</f>
        <v>0</v>
      </c>
      <c r="Q456" s="345">
        <f>SUM(Q429:Q455)</f>
        <v>0</v>
      </c>
      <c r="R456" s="322">
        <f t="shared" si="90"/>
        <v>0</v>
      </c>
      <c r="S456" s="346">
        <f t="shared" si="91"/>
        <v>1265</v>
      </c>
    </row>
    <row r="457" spans="2:19" ht="15.75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 spans="2:19" ht="15.75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 spans="2:19" ht="15.75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 spans="2:19" ht="15.75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 spans="2:19" ht="15.75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 spans="2:19" ht="15.75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 spans="2:19" ht="15.75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 spans="2:19" ht="15.75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 spans="2:19" ht="15.75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 spans="2:19" ht="15.75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 spans="2:19" ht="15.75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 spans="2:19" ht="15.75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 spans="2:19" ht="15.75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 spans="2:19" ht="15.75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 spans="2:19" ht="15.75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 spans="2:19" ht="15.75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 spans="2:19" ht="15.75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 spans="2:19" ht="15.75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 spans="2:19" ht="15.75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 spans="2:19" ht="15.75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 spans="2:19" ht="15.75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 spans="2:19" ht="15.75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 spans="2:19" ht="15.75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 spans="2:19" ht="15.75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 spans="2:19" ht="15.75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 spans="2:19" ht="15.75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 spans="2:19" ht="15.75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 spans="2:19" ht="15.75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 spans="2:19" ht="15.75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 spans="2:19" ht="15.75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 spans="2:19" ht="15.75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 spans="2:19" ht="15.75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 spans="2:19" ht="15.75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 spans="2:19" ht="15.75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 spans="2:19" ht="15.75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 spans="2:19" ht="15.75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 spans="2:19" ht="15.75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 spans="2:19" ht="15.75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 spans="2:19" ht="15.75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 spans="2:19" ht="15.75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 spans="2:19" ht="15.75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 spans="2:19" ht="15.75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 spans="2:19" ht="15.75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 spans="2:19" ht="15.75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 spans="2:19" ht="15.75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 spans="2:19" ht="15.75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 spans="2:19" ht="15.75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 spans="2:19" ht="15.75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 spans="2:19" ht="15.75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 spans="2:19" ht="15.75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 spans="2:19" ht="15.75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 spans="2:19" ht="15.75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 spans="2:19" ht="15.75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</sheetData>
  <mergeCells count="169">
    <mergeCell ref="P25:R25"/>
    <mergeCell ref="F25:O25"/>
    <mergeCell ref="B25:E25"/>
    <mergeCell ref="B24:S24"/>
    <mergeCell ref="B23:S23"/>
    <mergeCell ref="B22:S22"/>
    <mergeCell ref="C47:H54"/>
    <mergeCell ref="J30:M46"/>
    <mergeCell ref="O27:R28"/>
    <mergeCell ref="J27:N28"/>
    <mergeCell ref="C27:I28"/>
    <mergeCell ref="B27:B29"/>
    <mergeCell ref="P26:R26"/>
    <mergeCell ref="F26:J26"/>
    <mergeCell ref="B26:E26"/>
    <mergeCell ref="B136:S136"/>
    <mergeCell ref="F137:O137"/>
    <mergeCell ref="P137:R137"/>
    <mergeCell ref="B135:S135"/>
    <mergeCell ref="B95:S95"/>
    <mergeCell ref="J98:N99"/>
    <mergeCell ref="O98:R99"/>
    <mergeCell ref="J101:M119"/>
    <mergeCell ref="N128:N130"/>
    <mergeCell ref="F97:J97"/>
    <mergeCell ref="B134:Q134"/>
    <mergeCell ref="U84:U92"/>
    <mergeCell ref="B59:S59"/>
    <mergeCell ref="B60:S60"/>
    <mergeCell ref="N66:N81"/>
    <mergeCell ref="B94:S94"/>
    <mergeCell ref="P62:R62"/>
    <mergeCell ref="C63:I64"/>
    <mergeCell ref="J63:N64"/>
    <mergeCell ref="O63:R64"/>
    <mergeCell ref="J66:M83"/>
    <mergeCell ref="B61:S61"/>
    <mergeCell ref="F62:O62"/>
    <mergeCell ref="B62:E62"/>
    <mergeCell ref="AD9:AG9"/>
    <mergeCell ref="AH9:AK9"/>
    <mergeCell ref="AD10:AG10"/>
    <mergeCell ref="AD11:AG11"/>
    <mergeCell ref="AD12:AG12"/>
    <mergeCell ref="AD13:AG13"/>
    <mergeCell ref="AD14:AG14"/>
    <mergeCell ref="AD15:AG15"/>
    <mergeCell ref="Y15:AC15"/>
    <mergeCell ref="AH10:AK10"/>
    <mergeCell ref="AH11:AK11"/>
    <mergeCell ref="AH12:AK12"/>
    <mergeCell ref="AH13:AK13"/>
    <mergeCell ref="AH14:AK14"/>
    <mergeCell ref="AH15:AK15"/>
    <mergeCell ref="Y10:AC10"/>
    <mergeCell ref="Y9:AC9"/>
    <mergeCell ref="Y12:AC12"/>
    <mergeCell ref="Y11:AC11"/>
    <mergeCell ref="Y13:AC13"/>
    <mergeCell ref="Y14:AC14"/>
    <mergeCell ref="W2:AL2"/>
    <mergeCell ref="W3:AL3"/>
    <mergeCell ref="W4:AL4"/>
    <mergeCell ref="AA5:AH5"/>
    <mergeCell ref="AI5:AK5"/>
    <mergeCell ref="AL6:AL8"/>
    <mergeCell ref="AD6:AG8"/>
    <mergeCell ref="Y6:AC8"/>
    <mergeCell ref="X6:X8"/>
    <mergeCell ref="W6:W8"/>
    <mergeCell ref="AH6:AK8"/>
    <mergeCell ref="B422:S422"/>
    <mergeCell ref="B426:B428"/>
    <mergeCell ref="C426:I427"/>
    <mergeCell ref="J426:N427"/>
    <mergeCell ref="O426:R427"/>
    <mergeCell ref="S426:S428"/>
    <mergeCell ref="B438:B455"/>
    <mergeCell ref="B423:S423"/>
    <mergeCell ref="P425:R425"/>
    <mergeCell ref="B424:S424"/>
    <mergeCell ref="F425:O425"/>
    <mergeCell ref="B378:B385"/>
    <mergeCell ref="B353:S353"/>
    <mergeCell ref="B354:S354"/>
    <mergeCell ref="P356:R356"/>
    <mergeCell ref="B355:S355"/>
    <mergeCell ref="F356:O356"/>
    <mergeCell ref="C373:H385"/>
    <mergeCell ref="J376:M385"/>
    <mergeCell ref="I373:I384"/>
    <mergeCell ref="J360:M372"/>
    <mergeCell ref="N360:N372"/>
    <mergeCell ref="S378:S385"/>
    <mergeCell ref="B318:S318"/>
    <mergeCell ref="B319:S319"/>
    <mergeCell ref="F287:O287"/>
    <mergeCell ref="F320:O320"/>
    <mergeCell ref="B357:B359"/>
    <mergeCell ref="C357:I358"/>
    <mergeCell ref="J357:N358"/>
    <mergeCell ref="O357:R358"/>
    <mergeCell ref="S357:S359"/>
    <mergeCell ref="P171:R171"/>
    <mergeCell ref="C172:I173"/>
    <mergeCell ref="J172:N173"/>
    <mergeCell ref="O172:R173"/>
    <mergeCell ref="B206:S206"/>
    <mergeCell ref="S138:S140"/>
    <mergeCell ref="B145:B165"/>
    <mergeCell ref="B168:S168"/>
    <mergeCell ref="B169:S169"/>
    <mergeCell ref="B170:S170"/>
    <mergeCell ref="F171:O171"/>
    <mergeCell ref="B138:B140"/>
    <mergeCell ref="C138:I139"/>
    <mergeCell ref="J138:N139"/>
    <mergeCell ref="O138:R139"/>
    <mergeCell ref="S145:S164"/>
    <mergeCell ref="C144:I144"/>
    <mergeCell ref="B172:B174"/>
    <mergeCell ref="C196:I203"/>
    <mergeCell ref="B2:S2"/>
    <mergeCell ref="B3:S3"/>
    <mergeCell ref="C6:I7"/>
    <mergeCell ref="J6:N7"/>
    <mergeCell ref="O6:R7"/>
    <mergeCell ref="S6:S8"/>
    <mergeCell ref="B4:S4"/>
    <mergeCell ref="B6:B8"/>
    <mergeCell ref="B5:E5"/>
    <mergeCell ref="F5:J5"/>
    <mergeCell ref="B388:S388"/>
    <mergeCell ref="B389:S389"/>
    <mergeCell ref="F391:R391"/>
    <mergeCell ref="B210:B212"/>
    <mergeCell ref="C210:I211"/>
    <mergeCell ref="J210:N211"/>
    <mergeCell ref="O210:R211"/>
    <mergeCell ref="S210:S212"/>
    <mergeCell ref="B228:B238"/>
    <mergeCell ref="B284:S284"/>
    <mergeCell ref="B240:S240"/>
    <mergeCell ref="B241:S241"/>
    <mergeCell ref="B242:S242"/>
    <mergeCell ref="F243:O243"/>
    <mergeCell ref="P243:R243"/>
    <mergeCell ref="B317:S317"/>
    <mergeCell ref="B285:S285"/>
    <mergeCell ref="B286:S286"/>
    <mergeCell ref="B321:B323"/>
    <mergeCell ref="C321:I322"/>
    <mergeCell ref="J321:N322"/>
    <mergeCell ref="O321:R322"/>
    <mergeCell ref="S321:S323"/>
    <mergeCell ref="B337:B350"/>
    <mergeCell ref="B207:S207"/>
    <mergeCell ref="P209:R209"/>
    <mergeCell ref="B208:S208"/>
    <mergeCell ref="F209:O209"/>
    <mergeCell ref="B244:B246"/>
    <mergeCell ref="C244:I245"/>
    <mergeCell ref="J244:N245"/>
    <mergeCell ref="O244:R245"/>
    <mergeCell ref="S244:S246"/>
    <mergeCell ref="S228:S238"/>
    <mergeCell ref="C226:I226"/>
    <mergeCell ref="I228:I238"/>
    <mergeCell ref="C227:N227"/>
  </mergeCells>
  <pageMargins left="1.3779527559055118" right="1.5748031496062993" top="0.78740157480314965" bottom="0.59055118110236227" header="0.31496062992125984" footer="0.31496062992125984"/>
  <pageSetup paperSize="9" scale="10" pageOrder="overThenDown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9"/>
  <sheetViews>
    <sheetView topLeftCell="A6" zoomScale="82" zoomScaleNormal="82" workbookViewId="0">
      <selection activeCell="O28" sqref="O28"/>
    </sheetView>
  </sheetViews>
  <sheetFormatPr baseColWidth="10" defaultRowHeight="15"/>
  <cols>
    <col min="1" max="1" width="28.140625" customWidth="1"/>
    <col min="2" max="2" width="14.85546875" style="12" customWidth="1"/>
  </cols>
  <sheetData>
    <row r="1" spans="1:15" ht="15.75">
      <c r="A1" s="1092" t="s">
        <v>3</v>
      </c>
      <c r="B1" s="783"/>
      <c r="C1" s="924" t="s">
        <v>6</v>
      </c>
      <c r="D1" s="925"/>
      <c r="E1" s="925"/>
      <c r="F1" s="925"/>
      <c r="G1" s="925"/>
      <c r="H1" s="925"/>
      <c r="I1" s="930" t="s">
        <v>7</v>
      </c>
      <c r="J1" s="931"/>
      <c r="K1" s="931"/>
      <c r="L1" s="931"/>
      <c r="M1" s="936" t="s">
        <v>8</v>
      </c>
      <c r="N1" s="937"/>
      <c r="O1" s="937"/>
    </row>
    <row r="2" spans="1:15" ht="16.5" thickBot="1">
      <c r="A2" s="1093"/>
      <c r="B2" s="790"/>
      <c r="C2" s="927"/>
      <c r="D2" s="928"/>
      <c r="E2" s="928"/>
      <c r="F2" s="928"/>
      <c r="G2" s="928"/>
      <c r="H2" s="928"/>
      <c r="I2" s="933"/>
      <c r="J2" s="934"/>
      <c r="K2" s="934"/>
      <c r="L2" s="934"/>
      <c r="M2" s="938"/>
      <c r="N2" s="939"/>
      <c r="O2" s="939"/>
    </row>
    <row r="3" spans="1:15" ht="16.5" thickBot="1">
      <c r="A3" s="1094"/>
      <c r="B3" s="787"/>
      <c r="C3" s="61" t="s">
        <v>10</v>
      </c>
      <c r="D3" s="62" t="s">
        <v>11</v>
      </c>
      <c r="E3" s="61" t="s">
        <v>12</v>
      </c>
      <c r="F3" s="62" t="s">
        <v>13</v>
      </c>
      <c r="G3" s="63" t="s">
        <v>14</v>
      </c>
      <c r="H3" s="61" t="s">
        <v>15</v>
      </c>
      <c r="I3" s="65" t="s">
        <v>11</v>
      </c>
      <c r="J3" s="66" t="s">
        <v>12</v>
      </c>
      <c r="K3" s="66" t="s">
        <v>13</v>
      </c>
      <c r="L3" s="67" t="s">
        <v>14</v>
      </c>
      <c r="M3" s="65" t="s">
        <v>11</v>
      </c>
      <c r="N3" s="67" t="s">
        <v>12</v>
      </c>
      <c r="O3" s="66" t="s">
        <v>13</v>
      </c>
    </row>
    <row r="4" spans="1:15" ht="18.75">
      <c r="A4" s="791" t="s">
        <v>24</v>
      </c>
      <c r="B4" s="380" t="s">
        <v>303</v>
      </c>
      <c r="C4" s="567">
        <v>62</v>
      </c>
      <c r="D4" s="387">
        <v>59</v>
      </c>
      <c r="E4" s="567">
        <v>81</v>
      </c>
      <c r="F4" s="387">
        <v>74</v>
      </c>
      <c r="G4" s="568">
        <v>70</v>
      </c>
      <c r="H4" s="567">
        <v>61</v>
      </c>
      <c r="I4" s="1078"/>
      <c r="J4" s="1071"/>
      <c r="K4" s="1071"/>
      <c r="L4" s="1079"/>
      <c r="M4" s="784">
        <v>0</v>
      </c>
      <c r="N4" s="768">
        <v>0</v>
      </c>
      <c r="O4" s="770">
        <v>0</v>
      </c>
    </row>
    <row r="5" spans="1:15" ht="18.75">
      <c r="A5" s="792" t="s">
        <v>25</v>
      </c>
      <c r="B5" s="380" t="s">
        <v>303</v>
      </c>
      <c r="C5" s="567">
        <v>37</v>
      </c>
      <c r="D5" s="387">
        <v>44</v>
      </c>
      <c r="E5" s="567">
        <v>64</v>
      </c>
      <c r="F5" s="387">
        <v>60</v>
      </c>
      <c r="G5" s="568">
        <v>60</v>
      </c>
      <c r="H5" s="567">
        <v>46</v>
      </c>
      <c r="I5" s="1080"/>
      <c r="J5" s="1073"/>
      <c r="K5" s="1073"/>
      <c r="L5" s="1081"/>
      <c r="M5" s="785">
        <v>0</v>
      </c>
      <c r="N5" s="769">
        <v>0</v>
      </c>
      <c r="O5" s="771">
        <v>0</v>
      </c>
    </row>
    <row r="6" spans="1:15" ht="18.75">
      <c r="A6" s="792" t="s">
        <v>26</v>
      </c>
      <c r="B6" s="380" t="s">
        <v>303</v>
      </c>
      <c r="C6" s="567">
        <v>58</v>
      </c>
      <c r="D6" s="387">
        <v>73</v>
      </c>
      <c r="E6" s="567">
        <v>67</v>
      </c>
      <c r="F6" s="387">
        <v>64</v>
      </c>
      <c r="G6" s="568">
        <v>75</v>
      </c>
      <c r="H6" s="567">
        <v>61</v>
      </c>
      <c r="I6" s="1080"/>
      <c r="J6" s="1073"/>
      <c r="K6" s="1073"/>
      <c r="L6" s="1081"/>
      <c r="M6" s="785">
        <v>0</v>
      </c>
      <c r="N6" s="769">
        <v>0</v>
      </c>
      <c r="O6" s="771">
        <v>0</v>
      </c>
    </row>
    <row r="7" spans="1:15" ht="18.75">
      <c r="A7" s="792" t="s">
        <v>27</v>
      </c>
      <c r="B7" s="380" t="s">
        <v>303</v>
      </c>
      <c r="C7" s="567">
        <v>67</v>
      </c>
      <c r="D7" s="387">
        <v>108</v>
      </c>
      <c r="E7" s="567">
        <v>108</v>
      </c>
      <c r="F7" s="387">
        <v>105</v>
      </c>
      <c r="G7" s="568">
        <v>99</v>
      </c>
      <c r="H7" s="567">
        <v>95</v>
      </c>
      <c r="I7" s="1080"/>
      <c r="J7" s="1073"/>
      <c r="K7" s="1073"/>
      <c r="L7" s="1081"/>
      <c r="M7" s="785">
        <v>0</v>
      </c>
      <c r="N7" s="769">
        <v>0</v>
      </c>
      <c r="O7" s="771">
        <v>0</v>
      </c>
    </row>
    <row r="8" spans="1:15" ht="18.75">
      <c r="A8" s="792" t="s">
        <v>28</v>
      </c>
      <c r="B8" s="380" t="s">
        <v>303</v>
      </c>
      <c r="C8" s="567">
        <v>18</v>
      </c>
      <c r="D8" s="387">
        <v>38</v>
      </c>
      <c r="E8" s="567">
        <v>48</v>
      </c>
      <c r="F8" s="387">
        <v>47</v>
      </c>
      <c r="G8" s="568">
        <v>47</v>
      </c>
      <c r="H8" s="567">
        <v>49</v>
      </c>
      <c r="I8" s="1080"/>
      <c r="J8" s="1073"/>
      <c r="K8" s="1073"/>
      <c r="L8" s="1081"/>
      <c r="M8" s="785">
        <v>0</v>
      </c>
      <c r="N8" s="769">
        <v>0</v>
      </c>
      <c r="O8" s="771">
        <v>0</v>
      </c>
    </row>
    <row r="9" spans="1:15" ht="18.75">
      <c r="A9" s="792" t="s">
        <v>226</v>
      </c>
      <c r="B9" s="380" t="s">
        <v>303</v>
      </c>
      <c r="C9" s="567">
        <v>56</v>
      </c>
      <c r="D9" s="387">
        <v>48</v>
      </c>
      <c r="E9" s="567">
        <v>64</v>
      </c>
      <c r="F9" s="387">
        <v>69</v>
      </c>
      <c r="G9" s="568">
        <v>68</v>
      </c>
      <c r="H9" s="567">
        <v>71</v>
      </c>
      <c r="I9" s="1080"/>
      <c r="J9" s="1073"/>
      <c r="K9" s="1073"/>
      <c r="L9" s="1081"/>
      <c r="M9" s="785">
        <v>0</v>
      </c>
      <c r="N9" s="769">
        <v>0</v>
      </c>
      <c r="O9" s="771">
        <v>0</v>
      </c>
    </row>
    <row r="10" spans="1:15" ht="18.75">
      <c r="A10" s="792" t="s">
        <v>217</v>
      </c>
      <c r="B10" s="380" t="s">
        <v>303</v>
      </c>
      <c r="C10" s="567">
        <v>34</v>
      </c>
      <c r="D10" s="387">
        <v>34</v>
      </c>
      <c r="E10" s="567">
        <v>30</v>
      </c>
      <c r="F10" s="387">
        <v>43</v>
      </c>
      <c r="G10" s="568">
        <v>33</v>
      </c>
      <c r="H10" s="567">
        <v>26</v>
      </c>
      <c r="I10" s="1080"/>
      <c r="J10" s="1073"/>
      <c r="K10" s="1073"/>
      <c r="L10" s="1081"/>
      <c r="M10" s="785">
        <v>0</v>
      </c>
      <c r="N10" s="769">
        <v>0</v>
      </c>
      <c r="O10" s="771">
        <v>0</v>
      </c>
    </row>
    <row r="11" spans="1:15" ht="18.75">
      <c r="A11" s="793" t="s">
        <v>218</v>
      </c>
      <c r="B11" s="380" t="s">
        <v>303</v>
      </c>
      <c r="C11" s="567">
        <v>62</v>
      </c>
      <c r="D11" s="387">
        <v>71</v>
      </c>
      <c r="E11" s="567">
        <v>107</v>
      </c>
      <c r="F11" s="387">
        <v>61</v>
      </c>
      <c r="G11" s="568">
        <v>89</v>
      </c>
      <c r="H11" s="567">
        <v>75</v>
      </c>
      <c r="I11" s="1080"/>
      <c r="J11" s="1073"/>
      <c r="K11" s="1073"/>
      <c r="L11" s="1081"/>
      <c r="M11" s="785">
        <v>0</v>
      </c>
      <c r="N11" s="769">
        <v>0</v>
      </c>
      <c r="O11" s="771">
        <v>0</v>
      </c>
    </row>
    <row r="12" spans="1:15" ht="18.75">
      <c r="A12" s="792" t="s">
        <v>29</v>
      </c>
      <c r="B12" s="380" t="s">
        <v>303</v>
      </c>
      <c r="C12" s="567">
        <v>67</v>
      </c>
      <c r="D12" s="387">
        <v>87</v>
      </c>
      <c r="E12" s="567">
        <v>106</v>
      </c>
      <c r="F12" s="387">
        <v>93</v>
      </c>
      <c r="G12" s="568">
        <v>90</v>
      </c>
      <c r="H12" s="567">
        <v>84</v>
      </c>
      <c r="I12" s="1080"/>
      <c r="J12" s="1073"/>
      <c r="K12" s="1073"/>
      <c r="L12" s="1081"/>
      <c r="M12" s="785">
        <v>0</v>
      </c>
      <c r="N12" s="769">
        <v>0</v>
      </c>
      <c r="O12" s="771">
        <v>0</v>
      </c>
    </row>
    <row r="13" spans="1:15" ht="18.75">
      <c r="A13" s="792" t="s">
        <v>30</v>
      </c>
      <c r="B13" s="380" t="s">
        <v>303</v>
      </c>
      <c r="C13" s="567">
        <v>70</v>
      </c>
      <c r="D13" s="387">
        <v>72</v>
      </c>
      <c r="E13" s="567">
        <v>79</v>
      </c>
      <c r="F13" s="387">
        <v>69</v>
      </c>
      <c r="G13" s="568">
        <v>77</v>
      </c>
      <c r="H13" s="567">
        <v>66</v>
      </c>
      <c r="I13" s="1080"/>
      <c r="J13" s="1073"/>
      <c r="K13" s="1073"/>
      <c r="L13" s="1081"/>
      <c r="M13" s="785">
        <v>0</v>
      </c>
      <c r="N13" s="769">
        <v>0</v>
      </c>
      <c r="O13" s="771">
        <v>0</v>
      </c>
    </row>
    <row r="14" spans="1:15" ht="18.75">
      <c r="A14" s="792" t="s">
        <v>31</v>
      </c>
      <c r="B14" s="380" t="s">
        <v>303</v>
      </c>
      <c r="C14" s="567">
        <v>14</v>
      </c>
      <c r="D14" s="387">
        <v>34</v>
      </c>
      <c r="E14" s="567">
        <v>22</v>
      </c>
      <c r="F14" s="387">
        <v>20</v>
      </c>
      <c r="G14" s="568">
        <v>35</v>
      </c>
      <c r="H14" s="567">
        <v>35</v>
      </c>
      <c r="I14" s="1080"/>
      <c r="J14" s="1073"/>
      <c r="K14" s="1073"/>
      <c r="L14" s="1081"/>
      <c r="M14" s="785">
        <v>0</v>
      </c>
      <c r="N14" s="769">
        <v>0</v>
      </c>
      <c r="O14" s="771">
        <v>0</v>
      </c>
    </row>
    <row r="15" spans="1:15" ht="18.75">
      <c r="A15" s="792" t="s">
        <v>32</v>
      </c>
      <c r="B15" s="380" t="s">
        <v>303</v>
      </c>
      <c r="C15" s="567">
        <v>50</v>
      </c>
      <c r="D15" s="387">
        <v>45</v>
      </c>
      <c r="E15" s="567">
        <v>60</v>
      </c>
      <c r="F15" s="387">
        <v>76</v>
      </c>
      <c r="G15" s="568">
        <v>63</v>
      </c>
      <c r="H15" s="567">
        <v>47</v>
      </c>
      <c r="I15" s="1080"/>
      <c r="J15" s="1073"/>
      <c r="K15" s="1073"/>
      <c r="L15" s="1081"/>
      <c r="M15" s="785">
        <v>0</v>
      </c>
      <c r="N15" s="769">
        <v>0</v>
      </c>
      <c r="O15" s="771">
        <v>0</v>
      </c>
    </row>
    <row r="16" spans="1:15" ht="18.75">
      <c r="A16" s="792" t="s">
        <v>216</v>
      </c>
      <c r="B16" s="380" t="s">
        <v>303</v>
      </c>
      <c r="C16" s="567">
        <v>45</v>
      </c>
      <c r="D16" s="387">
        <v>66</v>
      </c>
      <c r="E16" s="567">
        <v>76</v>
      </c>
      <c r="F16" s="387">
        <v>74</v>
      </c>
      <c r="G16" s="568">
        <v>89</v>
      </c>
      <c r="H16" s="567">
        <v>75</v>
      </c>
      <c r="I16" s="1080"/>
      <c r="J16" s="1073"/>
      <c r="K16" s="1073"/>
      <c r="L16" s="1081"/>
      <c r="M16" s="785">
        <v>0</v>
      </c>
      <c r="N16" s="769">
        <v>0</v>
      </c>
      <c r="O16" s="771">
        <v>0</v>
      </c>
    </row>
    <row r="17" spans="1:15" ht="18.75">
      <c r="A17" s="792" t="s">
        <v>33</v>
      </c>
      <c r="B17" s="380" t="s">
        <v>303</v>
      </c>
      <c r="C17" s="567">
        <v>39</v>
      </c>
      <c r="D17" s="387">
        <v>37</v>
      </c>
      <c r="E17" s="567">
        <v>57</v>
      </c>
      <c r="F17" s="387">
        <v>33</v>
      </c>
      <c r="G17" s="568">
        <v>40</v>
      </c>
      <c r="H17" s="567">
        <v>45</v>
      </c>
      <c r="I17" s="1080"/>
      <c r="J17" s="1073"/>
      <c r="K17" s="1073"/>
      <c r="L17" s="1081"/>
      <c r="M17" s="785"/>
      <c r="N17" s="769"/>
      <c r="O17" s="771"/>
    </row>
    <row r="18" spans="1:15" ht="18.75">
      <c r="A18" s="792" t="s">
        <v>34</v>
      </c>
      <c r="B18" s="380" t="s">
        <v>303</v>
      </c>
      <c r="C18" s="567">
        <v>50</v>
      </c>
      <c r="D18" s="387">
        <v>74</v>
      </c>
      <c r="E18" s="567">
        <v>94</v>
      </c>
      <c r="F18" s="387">
        <v>64</v>
      </c>
      <c r="G18" s="568">
        <v>67</v>
      </c>
      <c r="H18" s="567">
        <v>66</v>
      </c>
      <c r="I18" s="1080"/>
      <c r="J18" s="1073"/>
      <c r="K18" s="1073"/>
      <c r="L18" s="1081"/>
      <c r="M18" s="785"/>
      <c r="N18" s="769"/>
      <c r="O18" s="771"/>
    </row>
    <row r="19" spans="1:15" ht="18.75">
      <c r="A19" s="792" t="s">
        <v>285</v>
      </c>
      <c r="B19" s="380" t="s">
        <v>303</v>
      </c>
      <c r="C19" s="567">
        <v>99</v>
      </c>
      <c r="D19" s="387">
        <v>101</v>
      </c>
      <c r="E19" s="567">
        <v>110</v>
      </c>
      <c r="F19" s="387">
        <v>98</v>
      </c>
      <c r="G19" s="568">
        <v>96</v>
      </c>
      <c r="H19" s="567">
        <v>72</v>
      </c>
      <c r="I19" s="1080"/>
      <c r="J19" s="1073"/>
      <c r="K19" s="1073"/>
      <c r="L19" s="1081"/>
      <c r="M19" s="785"/>
      <c r="N19" s="769"/>
      <c r="O19" s="771"/>
    </row>
    <row r="20" spans="1:15" ht="19.5" thickBot="1">
      <c r="A20" s="792" t="s">
        <v>35</v>
      </c>
      <c r="B20" s="380" t="s">
        <v>303</v>
      </c>
      <c r="C20" s="567">
        <v>54</v>
      </c>
      <c r="D20" s="387">
        <v>58</v>
      </c>
      <c r="E20" s="567">
        <v>76</v>
      </c>
      <c r="F20" s="387">
        <v>75</v>
      </c>
      <c r="G20" s="568">
        <v>66</v>
      </c>
      <c r="H20" s="567">
        <v>67</v>
      </c>
      <c r="I20" s="1089"/>
      <c r="J20" s="1090"/>
      <c r="K20" s="1090"/>
      <c r="L20" s="1091"/>
      <c r="M20" s="785">
        <v>0</v>
      </c>
      <c r="N20" s="769">
        <v>0</v>
      </c>
      <c r="O20" s="771">
        <v>0</v>
      </c>
    </row>
    <row r="21" spans="1:15" ht="18.75">
      <c r="A21" s="794" t="s">
        <v>36</v>
      </c>
      <c r="B21" s="799" t="s">
        <v>304</v>
      </c>
      <c r="C21" s="952">
        <v>1</v>
      </c>
      <c r="D21" s="952"/>
      <c r="E21" s="952"/>
      <c r="F21" s="952"/>
      <c r="G21" s="952"/>
      <c r="H21" s="953"/>
      <c r="I21" s="445">
        <v>263</v>
      </c>
      <c r="J21" s="446">
        <v>273</v>
      </c>
      <c r="K21" s="446">
        <v>198</v>
      </c>
      <c r="L21" s="447">
        <v>270</v>
      </c>
      <c r="M21" s="785">
        <v>0</v>
      </c>
      <c r="N21" s="769">
        <v>0</v>
      </c>
      <c r="O21" s="771">
        <v>0</v>
      </c>
    </row>
    <row r="22" spans="1:15" ht="18.75">
      <c r="A22" s="794" t="s">
        <v>37</v>
      </c>
      <c r="B22" s="799" t="s">
        <v>304</v>
      </c>
      <c r="C22" s="952"/>
      <c r="D22" s="952"/>
      <c r="E22" s="952"/>
      <c r="F22" s="952"/>
      <c r="G22" s="952"/>
      <c r="H22" s="953"/>
      <c r="I22" s="449">
        <v>294</v>
      </c>
      <c r="J22" s="450">
        <v>189</v>
      </c>
      <c r="K22" s="450">
        <v>122</v>
      </c>
      <c r="L22" s="451">
        <v>123</v>
      </c>
      <c r="M22" s="785">
        <v>0</v>
      </c>
      <c r="N22" s="769">
        <v>0</v>
      </c>
      <c r="O22" s="771">
        <v>0</v>
      </c>
    </row>
    <row r="23" spans="1:15" ht="18.75">
      <c r="A23" s="795" t="s">
        <v>38</v>
      </c>
      <c r="B23" s="799" t="s">
        <v>304</v>
      </c>
      <c r="C23" s="952"/>
      <c r="D23" s="952"/>
      <c r="E23" s="952"/>
      <c r="F23" s="952"/>
      <c r="G23" s="952"/>
      <c r="H23" s="953"/>
      <c r="I23" s="449">
        <v>278</v>
      </c>
      <c r="J23" s="450">
        <v>203</v>
      </c>
      <c r="K23" s="450">
        <v>213</v>
      </c>
      <c r="L23" s="451">
        <v>127</v>
      </c>
      <c r="M23" s="785">
        <v>0</v>
      </c>
      <c r="N23" s="769">
        <v>0</v>
      </c>
      <c r="O23" s="771">
        <v>0</v>
      </c>
    </row>
    <row r="24" spans="1:15" ht="18.75">
      <c r="A24" s="794" t="s">
        <v>39</v>
      </c>
      <c r="B24" s="799" t="s">
        <v>304</v>
      </c>
      <c r="C24" s="952"/>
      <c r="D24" s="952"/>
      <c r="E24" s="952"/>
      <c r="F24" s="952"/>
      <c r="G24" s="952"/>
      <c r="H24" s="953"/>
      <c r="I24" s="449">
        <v>325</v>
      </c>
      <c r="J24" s="450">
        <v>209</v>
      </c>
      <c r="K24" s="450">
        <v>179</v>
      </c>
      <c r="L24" s="451">
        <v>147</v>
      </c>
      <c r="M24" s="785">
        <v>0</v>
      </c>
      <c r="N24" s="769">
        <v>0</v>
      </c>
      <c r="O24" s="771">
        <v>0</v>
      </c>
    </row>
    <row r="25" spans="1:15" ht="18.75">
      <c r="A25" s="794" t="s">
        <v>228</v>
      </c>
      <c r="B25" s="799" t="s">
        <v>304</v>
      </c>
      <c r="C25" s="952"/>
      <c r="D25" s="952"/>
      <c r="E25" s="952"/>
      <c r="F25" s="952"/>
      <c r="G25" s="952"/>
      <c r="H25" s="953"/>
      <c r="I25" s="709">
        <v>280</v>
      </c>
      <c r="J25" s="710">
        <v>215</v>
      </c>
      <c r="K25" s="710">
        <v>109</v>
      </c>
      <c r="L25" s="711">
        <v>98</v>
      </c>
      <c r="M25" s="785">
        <v>0</v>
      </c>
      <c r="N25" s="769">
        <v>0</v>
      </c>
      <c r="O25" s="771">
        <v>0</v>
      </c>
    </row>
    <row r="26" spans="1:15" ht="19.5" thickBot="1">
      <c r="A26" s="795" t="s">
        <v>40</v>
      </c>
      <c r="B26" s="799" t="s">
        <v>304</v>
      </c>
      <c r="C26" s="952"/>
      <c r="D26" s="952"/>
      <c r="E26" s="952"/>
      <c r="F26" s="952"/>
      <c r="G26" s="952"/>
      <c r="H26" s="953"/>
      <c r="I26" s="580">
        <v>253</v>
      </c>
      <c r="J26" s="581">
        <v>241</v>
      </c>
      <c r="K26" s="581">
        <v>250</v>
      </c>
      <c r="L26" s="582">
        <v>147</v>
      </c>
      <c r="M26" s="786"/>
      <c r="N26" s="772"/>
      <c r="O26" s="773"/>
    </row>
    <row r="27" spans="1:15" ht="18.75">
      <c r="A27" s="796" t="s">
        <v>41</v>
      </c>
      <c r="B27" s="800" t="s">
        <v>305</v>
      </c>
      <c r="C27" s="952"/>
      <c r="D27" s="952"/>
      <c r="E27" s="952"/>
      <c r="F27" s="952"/>
      <c r="G27" s="952"/>
      <c r="H27" s="953"/>
      <c r="I27" s="769">
        <v>0</v>
      </c>
      <c r="J27" s="769">
        <v>0</v>
      </c>
      <c r="K27" s="769">
        <v>0</v>
      </c>
      <c r="L27" s="769">
        <v>0</v>
      </c>
      <c r="M27" s="498">
        <v>303</v>
      </c>
      <c r="N27" s="588">
        <v>216</v>
      </c>
      <c r="O27" s="589">
        <v>255</v>
      </c>
    </row>
    <row r="28" spans="1:15" ht="19.5" thickBot="1">
      <c r="A28" s="797" t="s">
        <v>42</v>
      </c>
      <c r="B28" s="800" t="s">
        <v>305</v>
      </c>
      <c r="C28" s="955"/>
      <c r="D28" s="955"/>
      <c r="E28" s="955"/>
      <c r="F28" s="955"/>
      <c r="G28" s="955"/>
      <c r="H28" s="956"/>
      <c r="I28" s="772">
        <v>0</v>
      </c>
      <c r="J28" s="772">
        <v>0</v>
      </c>
      <c r="K28" s="772">
        <v>0</v>
      </c>
      <c r="L28" s="772">
        <v>0</v>
      </c>
      <c r="M28" s="594">
        <v>151</v>
      </c>
      <c r="N28" s="594">
        <v>108</v>
      </c>
      <c r="O28" s="594">
        <v>129</v>
      </c>
    </row>
    <row r="29" spans="1:15" ht="18.75" thickBot="1">
      <c r="A29" s="798" t="s">
        <v>23</v>
      </c>
      <c r="B29" s="801"/>
      <c r="C29" s="597">
        <f t="shared" ref="C29:G29" si="0">C4+C5+C6+C7+C8+C9+C10+C11+C12+C13+C14+C15+C16+C17+C18+C19+C20</f>
        <v>882</v>
      </c>
      <c r="D29" s="597">
        <f t="shared" si="0"/>
        <v>1049</v>
      </c>
      <c r="E29" s="597">
        <f t="shared" si="0"/>
        <v>1249</v>
      </c>
      <c r="F29" s="597">
        <f t="shared" si="0"/>
        <v>1125</v>
      </c>
      <c r="G29" s="597">
        <f t="shared" si="0"/>
        <v>1164</v>
      </c>
      <c r="H29" s="597">
        <f>H4+H5+H6+H7+H8+H9+H10+H11+H12+H13+H14+H15+H16+H17+H18+H19+H20</f>
        <v>1041</v>
      </c>
      <c r="I29" s="598">
        <f>SUM(I4:I28)</f>
        <v>1693</v>
      </c>
      <c r="J29" s="598">
        <f>SUM(J4:J28)</f>
        <v>1330</v>
      </c>
      <c r="K29" s="598">
        <f>SUM(K4:K28)</f>
        <v>1071</v>
      </c>
      <c r="L29" s="598">
        <f>SUM(L4:L28)</f>
        <v>912</v>
      </c>
      <c r="M29" s="600">
        <f>M27+M28</f>
        <v>454</v>
      </c>
      <c r="N29" s="601">
        <f>SUM(N4:N28)</f>
        <v>324</v>
      </c>
      <c r="O29" s="602">
        <f>SUM(O4:O28)</f>
        <v>384</v>
      </c>
    </row>
  </sheetData>
  <mergeCells count="6">
    <mergeCell ref="C21:H28"/>
    <mergeCell ref="A1:A3"/>
    <mergeCell ref="C1:H2"/>
    <mergeCell ref="I1:L2"/>
    <mergeCell ref="M1:O2"/>
    <mergeCell ref="I4:L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0"/>
  <sheetViews>
    <sheetView topLeftCell="A9" zoomScale="81" zoomScaleNormal="81" workbookViewId="0">
      <selection activeCell="O29" sqref="O29"/>
    </sheetView>
  </sheetViews>
  <sheetFormatPr baseColWidth="10" defaultRowHeight="15"/>
  <cols>
    <col min="1" max="1" width="35.28515625" customWidth="1"/>
    <col min="2" max="2" width="11.42578125" style="12"/>
  </cols>
  <sheetData>
    <row r="1" spans="1:15" ht="18">
      <c r="A1" s="611"/>
      <c r="B1" s="775"/>
      <c r="C1" s="1057" t="s">
        <v>6</v>
      </c>
      <c r="D1" s="1057"/>
      <c r="E1" s="1057"/>
      <c r="F1" s="1057"/>
      <c r="G1" s="1057"/>
      <c r="H1" s="1057"/>
      <c r="I1" s="1061" t="s">
        <v>7</v>
      </c>
      <c r="J1" s="1062"/>
      <c r="K1" s="1062"/>
      <c r="L1" s="1062"/>
      <c r="M1" s="1067" t="s">
        <v>8</v>
      </c>
      <c r="N1" s="1068"/>
      <c r="O1" s="1068"/>
    </row>
    <row r="2" spans="1:15" ht="18.75" thickBot="1">
      <c r="A2" s="613" t="s">
        <v>3</v>
      </c>
      <c r="B2" s="802"/>
      <c r="C2" s="1059"/>
      <c r="D2" s="1059"/>
      <c r="E2" s="1059"/>
      <c r="F2" s="1059"/>
      <c r="G2" s="1059"/>
      <c r="H2" s="1059"/>
      <c r="I2" s="1064"/>
      <c r="J2" s="1065"/>
      <c r="K2" s="1065"/>
      <c r="L2" s="1065"/>
      <c r="M2" s="1069"/>
      <c r="N2" s="1070"/>
      <c r="O2" s="1070"/>
    </row>
    <row r="3" spans="1:15" ht="19.5" thickBot="1">
      <c r="A3" s="613"/>
      <c r="B3" s="802"/>
      <c r="C3" s="615" t="s">
        <v>10</v>
      </c>
      <c r="D3" s="616" t="s">
        <v>11</v>
      </c>
      <c r="E3" s="616" t="s">
        <v>12</v>
      </c>
      <c r="F3" s="616" t="s">
        <v>13</v>
      </c>
      <c r="G3" s="616" t="s">
        <v>14</v>
      </c>
      <c r="H3" s="617" t="s">
        <v>15</v>
      </c>
      <c r="I3" s="619" t="s">
        <v>11</v>
      </c>
      <c r="J3" s="620" t="s">
        <v>12</v>
      </c>
      <c r="K3" s="620" t="s">
        <v>13</v>
      </c>
      <c r="L3" s="621" t="s">
        <v>14</v>
      </c>
      <c r="M3" s="619" t="s">
        <v>11</v>
      </c>
      <c r="N3" s="621" t="s">
        <v>12</v>
      </c>
      <c r="O3" s="620" t="s">
        <v>13</v>
      </c>
    </row>
    <row r="4" spans="1:15" ht="21.75" thickBot="1">
      <c r="A4" s="733" t="s">
        <v>43</v>
      </c>
      <c r="B4" s="725" t="s">
        <v>303</v>
      </c>
      <c r="C4" s="724">
        <v>60</v>
      </c>
      <c r="D4" s="724">
        <v>74</v>
      </c>
      <c r="E4" s="724">
        <v>73</v>
      </c>
      <c r="F4" s="724">
        <v>58</v>
      </c>
      <c r="G4" s="724">
        <v>64</v>
      </c>
      <c r="H4" s="725">
        <v>67</v>
      </c>
      <c r="I4" s="1071"/>
      <c r="J4" s="1071"/>
      <c r="K4" s="1071"/>
      <c r="L4" s="1072"/>
      <c r="M4" s="784">
        <v>0</v>
      </c>
      <c r="N4" s="768">
        <v>0</v>
      </c>
      <c r="O4" s="768">
        <v>0</v>
      </c>
    </row>
    <row r="5" spans="1:15" ht="21.75" thickBot="1">
      <c r="A5" s="734" t="s">
        <v>214</v>
      </c>
      <c r="B5" s="725" t="s">
        <v>303</v>
      </c>
      <c r="C5" s="727">
        <v>40</v>
      </c>
      <c r="D5" s="727">
        <v>50</v>
      </c>
      <c r="E5" s="727">
        <v>53</v>
      </c>
      <c r="F5" s="727">
        <v>53</v>
      </c>
      <c r="G5" s="727">
        <v>56</v>
      </c>
      <c r="H5" s="728">
        <v>49</v>
      </c>
      <c r="I5" s="1073"/>
      <c r="J5" s="1073"/>
      <c r="K5" s="1073"/>
      <c r="L5" s="1074"/>
      <c r="M5" s="785">
        <v>0</v>
      </c>
      <c r="N5" s="769">
        <v>0</v>
      </c>
      <c r="O5" s="769">
        <v>0</v>
      </c>
    </row>
    <row r="6" spans="1:15" ht="21.75" thickBot="1">
      <c r="A6" s="734" t="s">
        <v>44</v>
      </c>
      <c r="B6" s="725" t="s">
        <v>303</v>
      </c>
      <c r="C6" s="727">
        <v>61</v>
      </c>
      <c r="D6" s="727">
        <v>69</v>
      </c>
      <c r="E6" s="727">
        <v>77</v>
      </c>
      <c r="F6" s="727">
        <v>60</v>
      </c>
      <c r="G6" s="727">
        <v>59</v>
      </c>
      <c r="H6" s="728">
        <v>86</v>
      </c>
      <c r="I6" s="1073"/>
      <c r="J6" s="1073"/>
      <c r="K6" s="1073"/>
      <c r="L6" s="1074"/>
      <c r="M6" s="785">
        <v>0</v>
      </c>
      <c r="N6" s="769">
        <v>0</v>
      </c>
      <c r="O6" s="769">
        <v>0</v>
      </c>
    </row>
    <row r="7" spans="1:15" ht="21.75" thickBot="1">
      <c r="A7" s="734" t="s">
        <v>45</v>
      </c>
      <c r="B7" s="725" t="s">
        <v>303</v>
      </c>
      <c r="C7" s="727">
        <v>77</v>
      </c>
      <c r="D7" s="727">
        <v>87</v>
      </c>
      <c r="E7" s="727">
        <v>110</v>
      </c>
      <c r="F7" s="727">
        <v>109</v>
      </c>
      <c r="G7" s="727">
        <v>85</v>
      </c>
      <c r="H7" s="728">
        <v>87</v>
      </c>
      <c r="I7" s="1073"/>
      <c r="J7" s="1073"/>
      <c r="K7" s="1073"/>
      <c r="L7" s="1074"/>
      <c r="M7" s="785">
        <v>0</v>
      </c>
      <c r="N7" s="769">
        <v>0</v>
      </c>
      <c r="O7" s="769">
        <v>0</v>
      </c>
    </row>
    <row r="8" spans="1:15" ht="21.75" thickBot="1">
      <c r="A8" s="734" t="s">
        <v>46</v>
      </c>
      <c r="B8" s="725" t="s">
        <v>303</v>
      </c>
      <c r="C8" s="727">
        <v>38</v>
      </c>
      <c r="D8" s="727">
        <v>30</v>
      </c>
      <c r="E8" s="727">
        <v>34</v>
      </c>
      <c r="F8" s="727">
        <v>36</v>
      </c>
      <c r="G8" s="727">
        <v>32</v>
      </c>
      <c r="H8" s="728">
        <v>35</v>
      </c>
      <c r="I8" s="1073"/>
      <c r="J8" s="1073"/>
      <c r="K8" s="1073"/>
      <c r="L8" s="1074"/>
      <c r="M8" s="785">
        <v>0</v>
      </c>
      <c r="N8" s="769">
        <v>0</v>
      </c>
      <c r="O8" s="769">
        <v>0</v>
      </c>
    </row>
    <row r="9" spans="1:15" ht="21.75" thickBot="1">
      <c r="A9" s="734" t="s">
        <v>47</v>
      </c>
      <c r="B9" s="725" t="s">
        <v>303</v>
      </c>
      <c r="C9" s="727">
        <v>34</v>
      </c>
      <c r="D9" s="727">
        <v>45</v>
      </c>
      <c r="E9" s="727">
        <v>48</v>
      </c>
      <c r="F9" s="727">
        <v>58</v>
      </c>
      <c r="G9" s="727">
        <v>49</v>
      </c>
      <c r="H9" s="728">
        <v>39</v>
      </c>
      <c r="I9" s="1073"/>
      <c r="J9" s="1073"/>
      <c r="K9" s="1073"/>
      <c r="L9" s="1074"/>
      <c r="M9" s="785">
        <v>0</v>
      </c>
      <c r="N9" s="769">
        <v>0</v>
      </c>
      <c r="O9" s="769">
        <v>0</v>
      </c>
    </row>
    <row r="10" spans="1:15" ht="21.75" thickBot="1">
      <c r="A10" s="734" t="s">
        <v>48</v>
      </c>
      <c r="B10" s="725" t="s">
        <v>303</v>
      </c>
      <c r="C10" s="727">
        <v>90</v>
      </c>
      <c r="D10" s="727">
        <v>120</v>
      </c>
      <c r="E10" s="727">
        <v>116</v>
      </c>
      <c r="F10" s="727">
        <v>135</v>
      </c>
      <c r="G10" s="727">
        <v>115</v>
      </c>
      <c r="H10" s="728">
        <v>115</v>
      </c>
      <c r="I10" s="1073"/>
      <c r="J10" s="1073"/>
      <c r="K10" s="1073"/>
      <c r="L10" s="1074"/>
      <c r="M10" s="785">
        <v>0</v>
      </c>
      <c r="N10" s="769">
        <v>0</v>
      </c>
      <c r="O10" s="769">
        <v>0</v>
      </c>
    </row>
    <row r="11" spans="1:15" ht="21.75" thickBot="1">
      <c r="A11" s="734" t="s">
        <v>49</v>
      </c>
      <c r="B11" s="725" t="s">
        <v>303</v>
      </c>
      <c r="C11" s="727">
        <v>37</v>
      </c>
      <c r="D11" s="727">
        <v>62</v>
      </c>
      <c r="E11" s="727">
        <v>76</v>
      </c>
      <c r="F11" s="727">
        <v>66</v>
      </c>
      <c r="G11" s="727">
        <v>65</v>
      </c>
      <c r="H11" s="728">
        <v>67</v>
      </c>
      <c r="I11" s="1073"/>
      <c r="J11" s="1073"/>
      <c r="K11" s="1073"/>
      <c r="L11" s="1074"/>
      <c r="M11" s="785">
        <v>0</v>
      </c>
      <c r="N11" s="769">
        <v>0</v>
      </c>
      <c r="O11" s="769">
        <v>0</v>
      </c>
    </row>
    <row r="12" spans="1:15" ht="21.75" thickBot="1">
      <c r="A12" s="734" t="s">
        <v>213</v>
      </c>
      <c r="B12" s="725" t="s">
        <v>303</v>
      </c>
      <c r="C12" s="727">
        <v>46</v>
      </c>
      <c r="D12" s="727">
        <v>35</v>
      </c>
      <c r="E12" s="727">
        <v>60</v>
      </c>
      <c r="F12" s="727">
        <v>43</v>
      </c>
      <c r="G12" s="727">
        <v>52</v>
      </c>
      <c r="H12" s="728">
        <v>46</v>
      </c>
      <c r="I12" s="1073"/>
      <c r="J12" s="1073"/>
      <c r="K12" s="1073"/>
      <c r="L12" s="1074"/>
      <c r="M12" s="785">
        <v>0</v>
      </c>
      <c r="N12" s="769">
        <v>0</v>
      </c>
      <c r="O12" s="769">
        <v>0</v>
      </c>
    </row>
    <row r="13" spans="1:15" ht="21.75" thickBot="1">
      <c r="A13" s="734" t="s">
        <v>50</v>
      </c>
      <c r="B13" s="725" t="s">
        <v>303</v>
      </c>
      <c r="C13" s="727">
        <v>44</v>
      </c>
      <c r="D13" s="727">
        <v>53</v>
      </c>
      <c r="E13" s="727">
        <v>52</v>
      </c>
      <c r="F13" s="727">
        <v>66</v>
      </c>
      <c r="G13" s="727">
        <v>42</v>
      </c>
      <c r="H13" s="728">
        <v>56</v>
      </c>
      <c r="I13" s="1073"/>
      <c r="J13" s="1073"/>
      <c r="K13" s="1073"/>
      <c r="L13" s="1074"/>
      <c r="M13" s="785">
        <v>0</v>
      </c>
      <c r="N13" s="769">
        <v>0</v>
      </c>
      <c r="O13" s="769">
        <v>0</v>
      </c>
    </row>
    <row r="14" spans="1:15" ht="21.75" thickBot="1">
      <c r="A14" s="734" t="s">
        <v>222</v>
      </c>
      <c r="B14" s="725" t="s">
        <v>303</v>
      </c>
      <c r="C14" s="727">
        <v>51</v>
      </c>
      <c r="D14" s="727">
        <v>69</v>
      </c>
      <c r="E14" s="727">
        <v>64</v>
      </c>
      <c r="F14" s="727">
        <v>68</v>
      </c>
      <c r="G14" s="727">
        <v>59</v>
      </c>
      <c r="H14" s="728">
        <v>63</v>
      </c>
      <c r="I14" s="1073"/>
      <c r="J14" s="1073"/>
      <c r="K14" s="1073"/>
      <c r="L14" s="1074"/>
      <c r="M14" s="785">
        <v>0</v>
      </c>
      <c r="N14" s="769">
        <v>0</v>
      </c>
      <c r="O14" s="769">
        <v>0</v>
      </c>
    </row>
    <row r="15" spans="1:15" ht="21.75" thickBot="1">
      <c r="A15" s="734" t="s">
        <v>51</v>
      </c>
      <c r="B15" s="725" t="s">
        <v>303</v>
      </c>
      <c r="C15" s="727">
        <v>33</v>
      </c>
      <c r="D15" s="727">
        <v>56</v>
      </c>
      <c r="E15" s="727">
        <v>77</v>
      </c>
      <c r="F15" s="727">
        <v>52</v>
      </c>
      <c r="G15" s="727">
        <v>55</v>
      </c>
      <c r="H15" s="728">
        <v>49</v>
      </c>
      <c r="I15" s="1073"/>
      <c r="J15" s="1073"/>
      <c r="K15" s="1073"/>
      <c r="L15" s="1074"/>
      <c r="M15" s="785">
        <v>0</v>
      </c>
      <c r="N15" s="769">
        <v>0</v>
      </c>
      <c r="O15" s="769">
        <v>0</v>
      </c>
    </row>
    <row r="16" spans="1:15" ht="21.75" thickBot="1">
      <c r="A16" s="735" t="s">
        <v>52</v>
      </c>
      <c r="B16" s="725" t="s">
        <v>303</v>
      </c>
      <c r="C16" s="727">
        <v>43</v>
      </c>
      <c r="D16" s="727">
        <v>48</v>
      </c>
      <c r="E16" s="727">
        <v>69</v>
      </c>
      <c r="F16" s="727">
        <v>49</v>
      </c>
      <c r="G16" s="727">
        <v>56</v>
      </c>
      <c r="H16" s="728">
        <v>50</v>
      </c>
      <c r="I16" s="1073"/>
      <c r="J16" s="1073"/>
      <c r="K16" s="1073"/>
      <c r="L16" s="1074"/>
      <c r="M16" s="785"/>
      <c r="N16" s="769"/>
      <c r="O16" s="769"/>
    </row>
    <row r="17" spans="1:15" ht="21.75" thickBot="1">
      <c r="A17" s="734" t="s">
        <v>53</v>
      </c>
      <c r="B17" s="725" t="s">
        <v>303</v>
      </c>
      <c r="C17" s="727">
        <v>36</v>
      </c>
      <c r="D17" s="727">
        <v>43</v>
      </c>
      <c r="E17" s="727">
        <v>41</v>
      </c>
      <c r="F17" s="727">
        <v>39</v>
      </c>
      <c r="G17" s="727">
        <v>44</v>
      </c>
      <c r="H17" s="728">
        <v>55</v>
      </c>
      <c r="I17" s="1073"/>
      <c r="J17" s="1073"/>
      <c r="K17" s="1073"/>
      <c r="L17" s="1074"/>
      <c r="M17" s="785"/>
      <c r="N17" s="769"/>
      <c r="O17" s="769"/>
    </row>
    <row r="18" spans="1:15" ht="21.75" thickBot="1">
      <c r="A18" s="734" t="s">
        <v>54</v>
      </c>
      <c r="B18" s="725" t="s">
        <v>303</v>
      </c>
      <c r="C18" s="727">
        <v>130</v>
      </c>
      <c r="D18" s="727">
        <v>108</v>
      </c>
      <c r="E18" s="727">
        <v>75</v>
      </c>
      <c r="F18" s="727">
        <v>73</v>
      </c>
      <c r="G18" s="727">
        <v>78</v>
      </c>
      <c r="H18" s="728">
        <v>63</v>
      </c>
      <c r="I18" s="1073"/>
      <c r="J18" s="1073"/>
      <c r="K18" s="1073"/>
      <c r="L18" s="1074"/>
      <c r="M18" s="785"/>
      <c r="N18" s="769"/>
      <c r="O18" s="769"/>
    </row>
    <row r="19" spans="1:15" ht="21.75" thickBot="1">
      <c r="A19" s="734" t="s">
        <v>55</v>
      </c>
      <c r="B19" s="725" t="s">
        <v>303</v>
      </c>
      <c r="C19" s="727">
        <v>85</v>
      </c>
      <c r="D19" s="727">
        <v>108</v>
      </c>
      <c r="E19" s="727">
        <v>95</v>
      </c>
      <c r="F19" s="727">
        <v>80</v>
      </c>
      <c r="G19" s="727">
        <v>105</v>
      </c>
      <c r="H19" s="728">
        <v>88</v>
      </c>
      <c r="I19" s="1073"/>
      <c r="J19" s="1073"/>
      <c r="K19" s="1073"/>
      <c r="L19" s="1074"/>
      <c r="M19" s="785"/>
      <c r="N19" s="769"/>
      <c r="O19" s="769"/>
    </row>
    <row r="20" spans="1:15" ht="21.75" thickBot="1">
      <c r="A20" s="734" t="s">
        <v>244</v>
      </c>
      <c r="B20" s="725" t="s">
        <v>303</v>
      </c>
      <c r="C20" s="727">
        <v>32</v>
      </c>
      <c r="D20" s="727">
        <v>41</v>
      </c>
      <c r="E20" s="727">
        <v>50</v>
      </c>
      <c r="F20" s="727">
        <v>37</v>
      </c>
      <c r="G20" s="727">
        <v>44</v>
      </c>
      <c r="H20" s="728">
        <v>28</v>
      </c>
      <c r="I20" s="1073"/>
      <c r="J20" s="1073"/>
      <c r="K20" s="1073"/>
      <c r="L20" s="1074"/>
      <c r="M20" s="785"/>
      <c r="N20" s="769"/>
      <c r="O20" s="769"/>
    </row>
    <row r="21" spans="1:15" ht="21.75" thickBot="1">
      <c r="A21" s="736" t="s">
        <v>286</v>
      </c>
      <c r="B21" s="725" t="s">
        <v>303</v>
      </c>
      <c r="C21" s="730">
        <v>50</v>
      </c>
      <c r="D21" s="730">
        <v>57</v>
      </c>
      <c r="E21" s="730">
        <v>44</v>
      </c>
      <c r="F21" s="730">
        <v>48</v>
      </c>
      <c r="G21" s="730">
        <v>56</v>
      </c>
      <c r="H21" s="731">
        <v>33</v>
      </c>
      <c r="I21" s="1073"/>
      <c r="J21" s="1073"/>
      <c r="K21" s="1073"/>
      <c r="L21" s="1074"/>
      <c r="M21" s="785"/>
      <c r="N21" s="769"/>
      <c r="O21" s="769"/>
    </row>
    <row r="22" spans="1:15" ht="21.75" thickBot="1">
      <c r="A22" s="737" t="s">
        <v>56</v>
      </c>
      <c r="B22" s="804" t="s">
        <v>304</v>
      </c>
      <c r="C22" s="785">
        <v>0</v>
      </c>
      <c r="D22" s="769">
        <v>0</v>
      </c>
      <c r="E22" s="769">
        <v>0</v>
      </c>
      <c r="F22" s="769">
        <v>0</v>
      </c>
      <c r="G22" s="769">
        <v>0</v>
      </c>
      <c r="H22" s="769">
        <v>0</v>
      </c>
      <c r="I22" s="743">
        <v>286</v>
      </c>
      <c r="J22" s="744">
        <v>238</v>
      </c>
      <c r="K22" s="744">
        <v>229</v>
      </c>
      <c r="L22" s="745">
        <v>222</v>
      </c>
      <c r="M22" s="785">
        <v>0</v>
      </c>
      <c r="N22" s="769">
        <v>0</v>
      </c>
      <c r="O22" s="769">
        <v>0</v>
      </c>
    </row>
    <row r="23" spans="1:15" ht="21.75" thickBot="1">
      <c r="A23" s="738" t="s">
        <v>239</v>
      </c>
      <c r="B23" s="804" t="s">
        <v>304</v>
      </c>
      <c r="C23" s="785">
        <v>0</v>
      </c>
      <c r="D23" s="769">
        <v>0</v>
      </c>
      <c r="E23" s="769">
        <v>0</v>
      </c>
      <c r="F23" s="769">
        <v>0</v>
      </c>
      <c r="G23" s="769">
        <v>0</v>
      </c>
      <c r="H23" s="769">
        <v>0</v>
      </c>
      <c r="I23" s="743">
        <v>197</v>
      </c>
      <c r="J23" s="744">
        <v>179</v>
      </c>
      <c r="K23" s="744">
        <v>152</v>
      </c>
      <c r="L23" s="745">
        <v>129</v>
      </c>
      <c r="M23" s="785">
        <v>0</v>
      </c>
      <c r="N23" s="769">
        <v>0</v>
      </c>
      <c r="O23" s="769">
        <v>0</v>
      </c>
    </row>
    <row r="24" spans="1:15" ht="21.75" thickBot="1">
      <c r="A24" s="738" t="s">
        <v>57</v>
      </c>
      <c r="B24" s="804" t="s">
        <v>304</v>
      </c>
      <c r="C24" s="785">
        <v>0</v>
      </c>
      <c r="D24" s="769">
        <v>0</v>
      </c>
      <c r="E24" s="769">
        <v>0</v>
      </c>
      <c r="F24" s="769">
        <v>0</v>
      </c>
      <c r="G24" s="769">
        <v>0</v>
      </c>
      <c r="H24" s="769">
        <v>0</v>
      </c>
      <c r="I24" s="743">
        <v>150</v>
      </c>
      <c r="J24" s="744">
        <v>159</v>
      </c>
      <c r="K24" s="744">
        <v>141</v>
      </c>
      <c r="L24" s="745">
        <v>128</v>
      </c>
      <c r="M24" s="785">
        <v>0</v>
      </c>
      <c r="N24" s="769">
        <v>0</v>
      </c>
      <c r="O24" s="769">
        <v>0</v>
      </c>
    </row>
    <row r="25" spans="1:15" ht="21.75" thickBot="1">
      <c r="A25" s="738" t="s">
        <v>58</v>
      </c>
      <c r="B25" s="804" t="s">
        <v>304</v>
      </c>
      <c r="C25" s="785">
        <v>0</v>
      </c>
      <c r="D25" s="769">
        <v>0</v>
      </c>
      <c r="E25" s="769">
        <v>0</v>
      </c>
      <c r="F25" s="769">
        <v>0</v>
      </c>
      <c r="G25" s="769">
        <v>0</v>
      </c>
      <c r="H25" s="769">
        <v>0</v>
      </c>
      <c r="I25" s="747">
        <v>164</v>
      </c>
      <c r="J25" s="748">
        <v>160</v>
      </c>
      <c r="K25" s="748">
        <v>162</v>
      </c>
      <c r="L25" s="749">
        <v>164</v>
      </c>
      <c r="M25" s="785">
        <v>0</v>
      </c>
      <c r="N25" s="769">
        <v>0</v>
      </c>
      <c r="O25" s="769">
        <v>0</v>
      </c>
    </row>
    <row r="26" spans="1:15" ht="21.75" thickBot="1">
      <c r="A26" s="738" t="s">
        <v>59</v>
      </c>
      <c r="B26" s="804" t="s">
        <v>304</v>
      </c>
      <c r="C26" s="785">
        <v>0</v>
      </c>
      <c r="D26" s="769">
        <v>0</v>
      </c>
      <c r="E26" s="769">
        <v>0</v>
      </c>
      <c r="F26" s="769">
        <v>0</v>
      </c>
      <c r="G26" s="769">
        <v>0</v>
      </c>
      <c r="H26" s="769">
        <v>0</v>
      </c>
      <c r="I26" s="747">
        <v>81</v>
      </c>
      <c r="J26" s="748">
        <v>74</v>
      </c>
      <c r="K26" s="748">
        <v>64</v>
      </c>
      <c r="L26" s="749">
        <v>92</v>
      </c>
      <c r="M26" s="785">
        <v>0</v>
      </c>
      <c r="N26" s="769">
        <v>0</v>
      </c>
      <c r="O26" s="769">
        <v>0</v>
      </c>
    </row>
    <row r="27" spans="1:15" ht="21.75" thickBot="1">
      <c r="A27" s="739" t="s">
        <v>60</v>
      </c>
      <c r="B27" s="805" t="s">
        <v>305</v>
      </c>
      <c r="C27" s="785">
        <v>0</v>
      </c>
      <c r="D27" s="769">
        <v>0</v>
      </c>
      <c r="E27" s="769">
        <v>0</v>
      </c>
      <c r="F27" s="769">
        <v>0</v>
      </c>
      <c r="G27" s="769">
        <v>0</v>
      </c>
      <c r="H27" s="769">
        <v>0</v>
      </c>
      <c r="I27" s="750">
        <v>0</v>
      </c>
      <c r="J27" s="750">
        <v>0</v>
      </c>
      <c r="K27" s="750">
        <v>0</v>
      </c>
      <c r="L27" s="750">
        <v>0</v>
      </c>
      <c r="M27" s="713">
        <v>368</v>
      </c>
      <c r="N27" s="714">
        <v>248</v>
      </c>
      <c r="O27" s="714">
        <v>248</v>
      </c>
    </row>
    <row r="28" spans="1:15" ht="21" thickBot="1">
      <c r="A28" s="740" t="s">
        <v>61</v>
      </c>
      <c r="B28" s="806" t="s">
        <v>305</v>
      </c>
      <c r="C28" s="785"/>
      <c r="D28" s="769"/>
      <c r="E28" s="769"/>
      <c r="F28" s="769"/>
      <c r="G28" s="769"/>
      <c r="H28" s="769"/>
      <c r="I28" s="750"/>
      <c r="J28" s="750"/>
      <c r="K28" s="750"/>
      <c r="L28" s="750"/>
      <c r="M28" s="716">
        <v>275</v>
      </c>
      <c r="N28" s="717">
        <v>191</v>
      </c>
      <c r="O28" s="717">
        <v>235</v>
      </c>
    </row>
    <row r="29" spans="1:15" ht="21.75" thickBot="1">
      <c r="A29" s="741" t="s">
        <v>62</v>
      </c>
      <c r="B29" s="805" t="s">
        <v>305</v>
      </c>
      <c r="C29" s="785">
        <v>0</v>
      </c>
      <c r="D29" s="769">
        <v>0</v>
      </c>
      <c r="E29" s="769">
        <v>0</v>
      </c>
      <c r="F29" s="769">
        <v>0</v>
      </c>
      <c r="G29" s="769">
        <v>0</v>
      </c>
      <c r="H29" s="769">
        <v>0</v>
      </c>
      <c r="I29" s="750">
        <v>0</v>
      </c>
      <c r="J29" s="750">
        <v>0</v>
      </c>
      <c r="K29" s="750">
        <v>0</v>
      </c>
      <c r="L29" s="750">
        <v>0</v>
      </c>
      <c r="M29" s="719">
        <v>189</v>
      </c>
      <c r="N29" s="720">
        <v>134</v>
      </c>
      <c r="O29" s="720">
        <v>168</v>
      </c>
    </row>
    <row r="30" spans="1:15" ht="21" thickBot="1">
      <c r="A30" s="742" t="s">
        <v>23</v>
      </c>
      <c r="B30" s="803"/>
      <c r="C30" s="753">
        <f>C4+C5+C6+C7+C8+C9+C10+C11+C12+C13+C14+C15+C16+C17+C18+C19+C20+C21</f>
        <v>987</v>
      </c>
      <c r="D30" s="753">
        <f t="shared" ref="D30:H30" si="0">D4+D5+D6+D7+D8+D9+D10+D11+D12+D13+D14+D15+D16+D17+D18+D19+D20+D21</f>
        <v>1155</v>
      </c>
      <c r="E30" s="753">
        <f t="shared" si="0"/>
        <v>1214</v>
      </c>
      <c r="F30" s="753">
        <f t="shared" si="0"/>
        <v>1130</v>
      </c>
      <c r="G30" s="753">
        <f t="shared" si="0"/>
        <v>1116</v>
      </c>
      <c r="H30" s="753">
        <f t="shared" si="0"/>
        <v>1076</v>
      </c>
      <c r="I30" s="753">
        <f>I22+I23+I24+I25+I26</f>
        <v>878</v>
      </c>
      <c r="J30" s="753">
        <f>J22+J23+J24+J25+J26</f>
        <v>810</v>
      </c>
      <c r="K30" s="753">
        <f>K22+K23+K24+K25+K26</f>
        <v>748</v>
      </c>
      <c r="L30" s="753">
        <f>L22+L23+L24+L25+L26</f>
        <v>735</v>
      </c>
      <c r="M30" s="721">
        <f>M27+M28+M29</f>
        <v>832</v>
      </c>
      <c r="N30" s="722">
        <f>N27+N28+N29</f>
        <v>573</v>
      </c>
      <c r="O30" s="722">
        <f>O27+O28+O29</f>
        <v>651</v>
      </c>
    </row>
  </sheetData>
  <mergeCells count="4">
    <mergeCell ref="C1:H2"/>
    <mergeCell ref="I1:L2"/>
    <mergeCell ref="M1:O2"/>
    <mergeCell ref="I4:L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4"/>
  <sheetViews>
    <sheetView topLeftCell="C16" workbookViewId="0">
      <selection activeCell="I4" sqref="I4"/>
    </sheetView>
  </sheetViews>
  <sheetFormatPr baseColWidth="10" defaultRowHeight="15"/>
  <cols>
    <col min="1" max="1" width="31.28515625" customWidth="1"/>
    <col min="2" max="2" width="11.42578125" style="12"/>
  </cols>
  <sheetData>
    <row r="1" spans="1:15" ht="15.75">
      <c r="A1" s="91"/>
      <c r="B1" s="781"/>
      <c r="C1" s="107" t="s">
        <v>6</v>
      </c>
      <c r="D1" s="108"/>
      <c r="E1" s="108"/>
      <c r="F1" s="108"/>
      <c r="G1" s="108"/>
      <c r="H1" s="108"/>
      <c r="I1" s="930" t="s">
        <v>7</v>
      </c>
      <c r="J1" s="931"/>
      <c r="K1" s="931"/>
      <c r="L1" s="931"/>
      <c r="M1" s="936" t="s">
        <v>8</v>
      </c>
      <c r="N1" s="937"/>
      <c r="O1" s="937"/>
    </row>
    <row r="2" spans="1:15" ht="16.5" thickBot="1">
      <c r="A2" s="92" t="s">
        <v>3</v>
      </c>
      <c r="B2" s="807"/>
      <c r="C2" s="110"/>
      <c r="D2" s="111"/>
      <c r="E2" s="111"/>
      <c r="F2" s="111"/>
      <c r="G2" s="111"/>
      <c r="H2" s="111"/>
      <c r="I2" s="933"/>
      <c r="J2" s="934"/>
      <c r="K2" s="934"/>
      <c r="L2" s="934"/>
      <c r="M2" s="938"/>
      <c r="N2" s="939"/>
      <c r="O2" s="939"/>
    </row>
    <row r="3" spans="1:15" ht="16.5" thickBot="1">
      <c r="A3" s="782"/>
      <c r="B3" s="782"/>
      <c r="C3" s="114" t="s">
        <v>10</v>
      </c>
      <c r="D3" s="115" t="s">
        <v>11</v>
      </c>
      <c r="E3" s="115" t="s">
        <v>12</v>
      </c>
      <c r="F3" s="115" t="s">
        <v>13</v>
      </c>
      <c r="G3" s="115" t="s">
        <v>14</v>
      </c>
      <c r="H3" s="116" t="s">
        <v>15</v>
      </c>
      <c r="I3" s="118" t="s">
        <v>11</v>
      </c>
      <c r="J3" s="780" t="s">
        <v>12</v>
      </c>
      <c r="K3" s="780" t="s">
        <v>13</v>
      </c>
      <c r="L3" s="779" t="s">
        <v>14</v>
      </c>
      <c r="M3" s="118" t="s">
        <v>11</v>
      </c>
      <c r="N3" s="779" t="s">
        <v>12</v>
      </c>
      <c r="O3" s="780" t="s">
        <v>13</v>
      </c>
    </row>
    <row r="4" spans="1:15" ht="19.5" customHeight="1" thickBot="1">
      <c r="A4" s="70" t="s">
        <v>63</v>
      </c>
      <c r="B4" s="809" t="s">
        <v>303</v>
      </c>
      <c r="C4" s="424">
        <v>56</v>
      </c>
      <c r="D4" s="424">
        <v>62</v>
      </c>
      <c r="E4" s="424">
        <v>81</v>
      </c>
      <c r="F4" s="424">
        <v>69</v>
      </c>
      <c r="G4" s="424">
        <v>91</v>
      </c>
      <c r="H4" s="425">
        <v>71</v>
      </c>
      <c r="I4" s="840"/>
      <c r="J4" s="841"/>
      <c r="K4" s="841"/>
      <c r="L4" s="842"/>
      <c r="M4" s="768">
        <v>0</v>
      </c>
      <c r="N4" s="768">
        <v>0</v>
      </c>
      <c r="O4" s="768">
        <v>0</v>
      </c>
    </row>
    <row r="5" spans="1:15" ht="19.5" thickBot="1">
      <c r="A5" s="77" t="s">
        <v>64</v>
      </c>
      <c r="B5" s="809" t="s">
        <v>303</v>
      </c>
      <c r="C5" s="424">
        <v>0</v>
      </c>
      <c r="D5" s="424">
        <v>26</v>
      </c>
      <c r="E5" s="424">
        <v>72</v>
      </c>
      <c r="F5" s="424">
        <v>64</v>
      </c>
      <c r="G5" s="424">
        <v>85</v>
      </c>
      <c r="H5" s="425">
        <v>55</v>
      </c>
      <c r="I5" s="843"/>
      <c r="J5" s="844"/>
      <c r="K5" s="844"/>
      <c r="L5" s="845"/>
      <c r="M5" s="769">
        <v>0</v>
      </c>
      <c r="N5" s="769">
        <v>0</v>
      </c>
      <c r="O5" s="769">
        <v>0</v>
      </c>
    </row>
    <row r="6" spans="1:15" ht="19.5" thickBot="1">
      <c r="A6" s="77" t="s">
        <v>65</v>
      </c>
      <c r="B6" s="809" t="s">
        <v>303</v>
      </c>
      <c r="C6" s="424">
        <v>27</v>
      </c>
      <c r="D6" s="424">
        <v>43</v>
      </c>
      <c r="E6" s="424">
        <v>66</v>
      </c>
      <c r="F6" s="424">
        <v>59</v>
      </c>
      <c r="G6" s="424">
        <v>46</v>
      </c>
      <c r="H6" s="425">
        <v>52</v>
      </c>
      <c r="I6" s="843"/>
      <c r="J6" s="844"/>
      <c r="K6" s="844"/>
      <c r="L6" s="845"/>
      <c r="M6" s="769">
        <v>0</v>
      </c>
      <c r="N6" s="769">
        <v>0</v>
      </c>
      <c r="O6" s="769">
        <v>0</v>
      </c>
    </row>
    <row r="7" spans="1:15" ht="19.5" thickBot="1">
      <c r="A7" s="77" t="s">
        <v>66</v>
      </c>
      <c r="B7" s="809" t="s">
        <v>303</v>
      </c>
      <c r="C7" s="424">
        <v>59</v>
      </c>
      <c r="D7" s="424">
        <v>85</v>
      </c>
      <c r="E7" s="424">
        <v>64</v>
      </c>
      <c r="F7" s="424">
        <v>97</v>
      </c>
      <c r="G7" s="424">
        <v>62</v>
      </c>
      <c r="H7" s="425">
        <v>81</v>
      </c>
      <c r="I7" s="843"/>
      <c r="J7" s="844"/>
      <c r="K7" s="844"/>
      <c r="L7" s="845"/>
      <c r="M7" s="769">
        <v>0</v>
      </c>
      <c r="N7" s="769">
        <v>0</v>
      </c>
      <c r="O7" s="769">
        <v>0</v>
      </c>
    </row>
    <row r="8" spans="1:15" ht="19.5" thickBot="1">
      <c r="A8" s="77" t="s">
        <v>67</v>
      </c>
      <c r="B8" s="809" t="s">
        <v>303</v>
      </c>
      <c r="C8" s="424">
        <v>65</v>
      </c>
      <c r="D8" s="424">
        <v>38</v>
      </c>
      <c r="E8" s="424">
        <v>71</v>
      </c>
      <c r="F8" s="424">
        <v>71</v>
      </c>
      <c r="G8" s="424">
        <v>63</v>
      </c>
      <c r="H8" s="425">
        <v>57</v>
      </c>
      <c r="I8" s="843"/>
      <c r="J8" s="844"/>
      <c r="K8" s="844"/>
      <c r="L8" s="845"/>
      <c r="M8" s="769">
        <v>0</v>
      </c>
      <c r="N8" s="769">
        <v>0</v>
      </c>
      <c r="O8" s="769">
        <v>0</v>
      </c>
    </row>
    <row r="9" spans="1:15" ht="19.5" thickBot="1">
      <c r="A9" s="77" t="s">
        <v>68</v>
      </c>
      <c r="B9" s="809" t="s">
        <v>303</v>
      </c>
      <c r="C9" s="424">
        <v>74</v>
      </c>
      <c r="D9" s="424">
        <v>72</v>
      </c>
      <c r="E9" s="424">
        <v>92</v>
      </c>
      <c r="F9" s="424">
        <v>88</v>
      </c>
      <c r="G9" s="424">
        <v>83</v>
      </c>
      <c r="H9" s="425">
        <v>57</v>
      </c>
      <c r="I9" s="843"/>
      <c r="J9" s="844"/>
      <c r="K9" s="844"/>
      <c r="L9" s="845"/>
      <c r="M9" s="769">
        <v>0</v>
      </c>
      <c r="N9" s="769">
        <v>0</v>
      </c>
      <c r="O9" s="769">
        <v>0</v>
      </c>
    </row>
    <row r="10" spans="1:15" ht="19.5" thickBot="1">
      <c r="A10" s="77" t="s">
        <v>69</v>
      </c>
      <c r="B10" s="809" t="s">
        <v>303</v>
      </c>
      <c r="C10" s="424">
        <v>16</v>
      </c>
      <c r="D10" s="424">
        <v>25</v>
      </c>
      <c r="E10" s="424">
        <v>40</v>
      </c>
      <c r="F10" s="424">
        <v>29</v>
      </c>
      <c r="G10" s="424">
        <v>24</v>
      </c>
      <c r="H10" s="425">
        <v>18</v>
      </c>
      <c r="I10" s="843"/>
      <c r="J10" s="844"/>
      <c r="K10" s="844"/>
      <c r="L10" s="845"/>
      <c r="M10" s="769">
        <v>0</v>
      </c>
      <c r="N10" s="769">
        <v>0</v>
      </c>
      <c r="O10" s="769">
        <v>0</v>
      </c>
    </row>
    <row r="11" spans="1:15" ht="19.5" thickBot="1">
      <c r="A11" s="77" t="s">
        <v>70</v>
      </c>
      <c r="B11" s="809" t="s">
        <v>303</v>
      </c>
      <c r="C11" s="424">
        <v>45</v>
      </c>
      <c r="D11" s="424">
        <v>51</v>
      </c>
      <c r="E11" s="424">
        <v>52</v>
      </c>
      <c r="F11" s="424">
        <v>64</v>
      </c>
      <c r="G11" s="424">
        <v>52</v>
      </c>
      <c r="H11" s="425">
        <v>39</v>
      </c>
      <c r="I11" s="843"/>
      <c r="J11" s="844"/>
      <c r="K11" s="844"/>
      <c r="L11" s="845"/>
      <c r="M11" s="769">
        <v>0</v>
      </c>
      <c r="N11" s="769">
        <v>0</v>
      </c>
      <c r="O11" s="769">
        <v>0</v>
      </c>
    </row>
    <row r="12" spans="1:15" ht="19.5" thickBot="1">
      <c r="A12" s="77" t="s">
        <v>71</v>
      </c>
      <c r="B12" s="809" t="s">
        <v>303</v>
      </c>
      <c r="C12" s="424">
        <v>50</v>
      </c>
      <c r="D12" s="424">
        <v>37</v>
      </c>
      <c r="E12" s="424">
        <v>41</v>
      </c>
      <c r="F12" s="424">
        <v>47</v>
      </c>
      <c r="G12" s="424">
        <v>51</v>
      </c>
      <c r="H12" s="425">
        <v>39</v>
      </c>
      <c r="I12" s="843"/>
      <c r="J12" s="844"/>
      <c r="K12" s="844"/>
      <c r="L12" s="845"/>
      <c r="M12" s="769">
        <v>0</v>
      </c>
      <c r="N12" s="769">
        <v>0</v>
      </c>
      <c r="O12" s="769">
        <v>0</v>
      </c>
    </row>
    <row r="13" spans="1:15" ht="19.5" thickBot="1">
      <c r="A13" s="77" t="s">
        <v>284</v>
      </c>
      <c r="B13" s="809" t="s">
        <v>303</v>
      </c>
      <c r="C13" s="424">
        <v>25</v>
      </c>
      <c r="D13" s="424">
        <v>36</v>
      </c>
      <c r="E13" s="424">
        <v>41</v>
      </c>
      <c r="F13" s="424">
        <v>40</v>
      </c>
      <c r="G13" s="424">
        <v>46</v>
      </c>
      <c r="H13" s="425">
        <v>47</v>
      </c>
      <c r="I13" s="843"/>
      <c r="J13" s="844"/>
      <c r="K13" s="844"/>
      <c r="L13" s="845"/>
      <c r="M13" s="769">
        <v>0</v>
      </c>
      <c r="N13" s="769">
        <v>0</v>
      </c>
      <c r="O13" s="769">
        <v>0</v>
      </c>
    </row>
    <row r="14" spans="1:15" ht="19.5" thickBot="1">
      <c r="A14" s="77" t="s">
        <v>250</v>
      </c>
      <c r="B14" s="809" t="s">
        <v>303</v>
      </c>
      <c r="C14" s="424">
        <v>43</v>
      </c>
      <c r="D14" s="424">
        <v>45</v>
      </c>
      <c r="E14" s="424">
        <v>78</v>
      </c>
      <c r="F14" s="424">
        <v>59</v>
      </c>
      <c r="G14" s="424">
        <v>60</v>
      </c>
      <c r="H14" s="425">
        <v>53</v>
      </c>
      <c r="I14" s="843"/>
      <c r="J14" s="844"/>
      <c r="K14" s="844"/>
      <c r="L14" s="845"/>
      <c r="M14" s="769">
        <v>0</v>
      </c>
      <c r="N14" s="769">
        <v>0</v>
      </c>
      <c r="O14" s="769">
        <v>0</v>
      </c>
    </row>
    <row r="15" spans="1:15" ht="19.5" thickBot="1">
      <c r="A15" s="77" t="s">
        <v>72</v>
      </c>
      <c r="B15" s="809" t="s">
        <v>303</v>
      </c>
      <c r="C15" s="424">
        <v>21</v>
      </c>
      <c r="D15" s="424">
        <v>28</v>
      </c>
      <c r="E15" s="424">
        <v>36</v>
      </c>
      <c r="F15" s="424">
        <v>32</v>
      </c>
      <c r="G15" s="424">
        <v>21</v>
      </c>
      <c r="H15" s="425">
        <v>35</v>
      </c>
      <c r="I15" s="843"/>
      <c r="J15" s="844"/>
      <c r="K15" s="844"/>
      <c r="L15" s="845"/>
      <c r="M15" s="769">
        <v>0</v>
      </c>
      <c r="N15" s="769">
        <v>0</v>
      </c>
      <c r="O15" s="769">
        <v>0</v>
      </c>
    </row>
    <row r="16" spans="1:15" ht="19.5" thickBot="1">
      <c r="A16" s="77" t="s">
        <v>73</v>
      </c>
      <c r="B16" s="809" t="s">
        <v>303</v>
      </c>
      <c r="C16" s="424">
        <v>43</v>
      </c>
      <c r="D16" s="424">
        <v>72</v>
      </c>
      <c r="E16" s="424">
        <v>98</v>
      </c>
      <c r="F16" s="424">
        <v>73</v>
      </c>
      <c r="G16" s="424">
        <v>60</v>
      </c>
      <c r="H16" s="425">
        <v>70</v>
      </c>
      <c r="I16" s="843"/>
      <c r="J16" s="844"/>
      <c r="K16" s="844"/>
      <c r="L16" s="845"/>
      <c r="M16" s="769">
        <v>0</v>
      </c>
      <c r="N16" s="769">
        <v>0</v>
      </c>
      <c r="O16" s="769">
        <v>0</v>
      </c>
    </row>
    <row r="17" spans="1:15" ht="19.5" thickBot="1">
      <c r="A17" s="77" t="s">
        <v>74</v>
      </c>
      <c r="B17" s="809" t="s">
        <v>303</v>
      </c>
      <c r="C17" s="424">
        <v>70</v>
      </c>
      <c r="D17" s="424">
        <v>71</v>
      </c>
      <c r="E17" s="424">
        <v>70</v>
      </c>
      <c r="F17" s="424">
        <v>67</v>
      </c>
      <c r="G17" s="424">
        <v>86</v>
      </c>
      <c r="H17" s="425">
        <v>54</v>
      </c>
      <c r="I17" s="843"/>
      <c r="J17" s="844"/>
      <c r="K17" s="844"/>
      <c r="L17" s="845"/>
      <c r="M17" s="769">
        <v>0</v>
      </c>
      <c r="N17" s="769">
        <v>0</v>
      </c>
      <c r="O17" s="769">
        <v>0</v>
      </c>
    </row>
    <row r="18" spans="1:15" ht="19.5" thickBot="1">
      <c r="A18" s="77" t="s">
        <v>75</v>
      </c>
      <c r="B18" s="809" t="s">
        <v>303</v>
      </c>
      <c r="C18" s="424">
        <v>33</v>
      </c>
      <c r="D18" s="424">
        <v>37</v>
      </c>
      <c r="E18" s="424">
        <v>36</v>
      </c>
      <c r="F18" s="424">
        <v>31</v>
      </c>
      <c r="G18" s="424">
        <v>37</v>
      </c>
      <c r="H18" s="425">
        <v>49</v>
      </c>
      <c r="I18" s="843"/>
      <c r="J18" s="844"/>
      <c r="K18" s="844"/>
      <c r="L18" s="845"/>
      <c r="M18" s="769">
        <v>0</v>
      </c>
      <c r="N18" s="769">
        <v>0</v>
      </c>
      <c r="O18" s="769">
        <v>0</v>
      </c>
    </row>
    <row r="19" spans="1:15" ht="19.5" thickBot="1">
      <c r="A19" s="77" t="s">
        <v>76</v>
      </c>
      <c r="B19" s="809" t="s">
        <v>303</v>
      </c>
      <c r="C19" s="424">
        <v>81</v>
      </c>
      <c r="D19" s="424">
        <v>109</v>
      </c>
      <c r="E19" s="424">
        <v>131</v>
      </c>
      <c r="F19" s="424">
        <v>99</v>
      </c>
      <c r="G19" s="424">
        <v>123</v>
      </c>
      <c r="H19" s="425">
        <v>131</v>
      </c>
      <c r="I19" s="843"/>
      <c r="J19" s="844"/>
      <c r="K19" s="844"/>
      <c r="L19" s="845"/>
      <c r="M19" s="769"/>
      <c r="N19" s="769"/>
      <c r="O19" s="769"/>
    </row>
    <row r="20" spans="1:15" ht="19.5" thickBot="1">
      <c r="A20" s="77" t="s">
        <v>77</v>
      </c>
      <c r="B20" s="809" t="s">
        <v>303</v>
      </c>
      <c r="C20" s="424">
        <v>49</v>
      </c>
      <c r="D20" s="424">
        <v>54</v>
      </c>
      <c r="E20" s="424">
        <v>79</v>
      </c>
      <c r="F20" s="424">
        <v>77</v>
      </c>
      <c r="G20" s="424">
        <v>63</v>
      </c>
      <c r="H20" s="425">
        <v>73</v>
      </c>
      <c r="I20" s="843"/>
      <c r="J20" s="844"/>
      <c r="K20" s="844"/>
      <c r="L20" s="845"/>
      <c r="M20" s="769">
        <v>0</v>
      </c>
      <c r="N20" s="769">
        <v>0</v>
      </c>
      <c r="O20" s="769">
        <v>0</v>
      </c>
    </row>
    <row r="21" spans="1:15" ht="19.5" thickBot="1">
      <c r="A21" s="126" t="s">
        <v>212</v>
      </c>
      <c r="B21" s="809" t="s">
        <v>303</v>
      </c>
      <c r="C21" s="424">
        <v>35</v>
      </c>
      <c r="D21" s="424">
        <v>47</v>
      </c>
      <c r="E21" s="424">
        <v>35</v>
      </c>
      <c r="F21" s="424">
        <v>42</v>
      </c>
      <c r="G21" s="424">
        <v>51</v>
      </c>
      <c r="H21" s="425">
        <v>49</v>
      </c>
      <c r="I21" s="843"/>
      <c r="J21" s="844"/>
      <c r="K21" s="844"/>
      <c r="L21" s="845"/>
      <c r="M21" s="769"/>
      <c r="N21" s="769"/>
      <c r="O21" s="769"/>
    </row>
    <row r="22" spans="1:15" ht="19.5" thickBot="1">
      <c r="A22" s="127" t="s">
        <v>249</v>
      </c>
      <c r="B22" s="809" t="s">
        <v>303</v>
      </c>
      <c r="C22" s="424">
        <v>0</v>
      </c>
      <c r="D22" s="424">
        <v>0</v>
      </c>
      <c r="E22" s="424">
        <v>0</v>
      </c>
      <c r="F22" s="424">
        <v>0</v>
      </c>
      <c r="G22" s="424">
        <v>0</v>
      </c>
      <c r="H22" s="425">
        <v>0</v>
      </c>
      <c r="I22" s="843"/>
      <c r="J22" s="844"/>
      <c r="K22" s="844"/>
      <c r="L22" s="845"/>
      <c r="M22" s="769"/>
      <c r="N22" s="769"/>
      <c r="O22" s="769"/>
    </row>
    <row r="23" spans="1:15" ht="19.5" thickBot="1">
      <c r="A23" s="128" t="s">
        <v>78</v>
      </c>
      <c r="B23" s="809" t="s">
        <v>303</v>
      </c>
      <c r="C23" s="535">
        <v>0</v>
      </c>
      <c r="D23" s="535">
        <v>7</v>
      </c>
      <c r="E23" s="535">
        <v>4</v>
      </c>
      <c r="F23" s="535">
        <v>4</v>
      </c>
      <c r="G23" s="535">
        <v>3</v>
      </c>
      <c r="H23" s="534">
        <v>1</v>
      </c>
      <c r="I23" s="537"/>
      <c r="J23" s="537"/>
      <c r="K23" s="537"/>
      <c r="L23" s="538"/>
      <c r="M23" s="769"/>
      <c r="N23" s="769"/>
      <c r="O23" s="769"/>
    </row>
    <row r="24" spans="1:15" ht="18.75">
      <c r="A24" s="351" t="s">
        <v>79</v>
      </c>
      <c r="B24" s="811" t="s">
        <v>304</v>
      </c>
      <c r="C24" s="539"/>
      <c r="D24" s="539"/>
      <c r="E24" s="539"/>
      <c r="F24" s="539"/>
      <c r="G24" s="539"/>
      <c r="H24" s="539"/>
      <c r="I24" s="540">
        <v>261</v>
      </c>
      <c r="J24" s="541">
        <v>186</v>
      </c>
      <c r="K24" s="541">
        <v>156</v>
      </c>
      <c r="L24" s="542">
        <v>133</v>
      </c>
      <c r="M24" s="455"/>
      <c r="N24" s="455"/>
      <c r="O24" s="455"/>
    </row>
    <row r="25" spans="1:15" ht="18">
      <c r="A25" s="347" t="s">
        <v>80</v>
      </c>
      <c r="B25" s="812" t="s">
        <v>304</v>
      </c>
      <c r="C25" s="769">
        <v>0</v>
      </c>
      <c r="D25" s="769">
        <v>0</v>
      </c>
      <c r="E25" s="769">
        <v>0</v>
      </c>
      <c r="F25" s="769">
        <v>0</v>
      </c>
      <c r="G25" s="769">
        <v>0</v>
      </c>
      <c r="H25" s="769">
        <v>0</v>
      </c>
      <c r="I25" s="545">
        <v>307</v>
      </c>
      <c r="J25" s="545">
        <v>249</v>
      </c>
      <c r="K25" s="545">
        <v>183</v>
      </c>
      <c r="L25" s="546">
        <v>188</v>
      </c>
      <c r="M25" s="769">
        <v>0</v>
      </c>
      <c r="N25" s="769">
        <v>0</v>
      </c>
      <c r="O25" s="769">
        <v>0</v>
      </c>
    </row>
    <row r="26" spans="1:15" ht="18">
      <c r="A26" s="348" t="s">
        <v>81</v>
      </c>
      <c r="B26" s="812" t="s">
        <v>304</v>
      </c>
      <c r="C26" s="769">
        <v>0</v>
      </c>
      <c r="D26" s="769">
        <v>0</v>
      </c>
      <c r="E26" s="769">
        <v>0</v>
      </c>
      <c r="F26" s="769">
        <v>0</v>
      </c>
      <c r="G26" s="769">
        <v>0</v>
      </c>
      <c r="H26" s="769">
        <v>0</v>
      </c>
      <c r="I26" s="548">
        <v>282</v>
      </c>
      <c r="J26" s="545">
        <v>164</v>
      </c>
      <c r="K26" s="545">
        <v>155</v>
      </c>
      <c r="L26" s="546">
        <v>158</v>
      </c>
      <c r="M26" s="769">
        <v>0</v>
      </c>
      <c r="N26" s="769">
        <v>0</v>
      </c>
      <c r="O26" s="769">
        <v>0</v>
      </c>
    </row>
    <row r="27" spans="1:15" ht="18">
      <c r="A27" s="348" t="s">
        <v>82</v>
      </c>
      <c r="B27" s="812" t="s">
        <v>304</v>
      </c>
      <c r="C27" s="769">
        <v>0</v>
      </c>
      <c r="D27" s="769">
        <v>0</v>
      </c>
      <c r="E27" s="769">
        <v>0</v>
      </c>
      <c r="F27" s="769">
        <v>0</v>
      </c>
      <c r="G27" s="769">
        <v>0</v>
      </c>
      <c r="H27" s="769">
        <v>0</v>
      </c>
      <c r="I27" s="548">
        <v>169</v>
      </c>
      <c r="J27" s="550">
        <v>98</v>
      </c>
      <c r="K27" s="550">
        <v>82</v>
      </c>
      <c r="L27" s="551">
        <v>104</v>
      </c>
      <c r="M27" s="769">
        <v>0</v>
      </c>
      <c r="N27" s="769">
        <v>0</v>
      </c>
      <c r="O27" s="769">
        <v>0</v>
      </c>
    </row>
    <row r="28" spans="1:15" ht="18">
      <c r="A28" s="348" t="s">
        <v>269</v>
      </c>
      <c r="B28" s="812" t="s">
        <v>304</v>
      </c>
      <c r="C28" s="769"/>
      <c r="D28" s="769"/>
      <c r="E28" s="769"/>
      <c r="F28" s="769"/>
      <c r="G28" s="769"/>
      <c r="H28" s="769"/>
      <c r="I28" s="552">
        <v>177</v>
      </c>
      <c r="J28" s="553">
        <v>137</v>
      </c>
      <c r="K28" s="553">
        <v>81</v>
      </c>
      <c r="L28" s="554">
        <v>80</v>
      </c>
      <c r="M28" s="769"/>
      <c r="N28" s="769"/>
      <c r="O28" s="769"/>
    </row>
    <row r="29" spans="1:15" ht="18">
      <c r="A29" s="348" t="s">
        <v>270</v>
      </c>
      <c r="B29" s="812" t="s">
        <v>304</v>
      </c>
      <c r="C29" s="769"/>
      <c r="D29" s="769"/>
      <c r="E29" s="769"/>
      <c r="F29" s="769"/>
      <c r="G29" s="769"/>
      <c r="H29" s="769"/>
      <c r="I29" s="552">
        <v>174</v>
      </c>
      <c r="J29" s="553">
        <v>141</v>
      </c>
      <c r="K29" s="553">
        <v>117</v>
      </c>
      <c r="L29" s="554">
        <v>75</v>
      </c>
      <c r="M29" s="769"/>
      <c r="N29" s="769"/>
      <c r="O29" s="769"/>
    </row>
    <row r="30" spans="1:15" ht="18.75" thickBot="1">
      <c r="A30" s="348" t="s">
        <v>83</v>
      </c>
      <c r="B30" s="812" t="s">
        <v>304</v>
      </c>
      <c r="C30" s="769">
        <v>0</v>
      </c>
      <c r="D30" s="769">
        <v>0</v>
      </c>
      <c r="E30" s="769">
        <v>0</v>
      </c>
      <c r="F30" s="769">
        <v>0</v>
      </c>
      <c r="G30" s="769">
        <v>0</v>
      </c>
      <c r="H30" s="769">
        <v>0</v>
      </c>
      <c r="I30" s="555">
        <v>192</v>
      </c>
      <c r="J30" s="556">
        <v>120</v>
      </c>
      <c r="K30" s="556">
        <v>105</v>
      </c>
      <c r="L30" s="557">
        <v>98</v>
      </c>
      <c r="M30" s="772">
        <v>0</v>
      </c>
      <c r="N30" s="772">
        <v>0</v>
      </c>
      <c r="O30" s="772">
        <v>0</v>
      </c>
    </row>
    <row r="31" spans="1:15" ht="18.75" thickBot="1">
      <c r="A31" s="349" t="s">
        <v>275</v>
      </c>
      <c r="B31" s="813" t="s">
        <v>305</v>
      </c>
      <c r="C31" s="769">
        <v>0</v>
      </c>
      <c r="D31" s="769">
        <v>0</v>
      </c>
      <c r="E31" s="769">
        <v>0</v>
      </c>
      <c r="F31" s="769">
        <v>0</v>
      </c>
      <c r="G31" s="769">
        <v>0</v>
      </c>
      <c r="H31" s="769">
        <v>0</v>
      </c>
      <c r="I31" s="768">
        <v>0</v>
      </c>
      <c r="J31" s="768">
        <v>0</v>
      </c>
      <c r="K31" s="768">
        <v>0</v>
      </c>
      <c r="L31" s="768">
        <v>0</v>
      </c>
      <c r="M31" s="559">
        <v>133</v>
      </c>
      <c r="N31" s="559">
        <v>133</v>
      </c>
      <c r="O31" s="560">
        <v>151</v>
      </c>
    </row>
    <row r="32" spans="1:15" ht="18.75" thickBot="1">
      <c r="A32" s="349" t="s">
        <v>84</v>
      </c>
      <c r="B32" s="813" t="s">
        <v>305</v>
      </c>
      <c r="C32" s="769">
        <v>0</v>
      </c>
      <c r="D32" s="769">
        <v>0</v>
      </c>
      <c r="E32" s="769">
        <v>0</v>
      </c>
      <c r="F32" s="769">
        <v>0</v>
      </c>
      <c r="G32" s="769">
        <v>0</v>
      </c>
      <c r="H32" s="769">
        <v>0</v>
      </c>
      <c r="I32" s="769">
        <v>0</v>
      </c>
      <c r="J32" s="769">
        <v>0</v>
      </c>
      <c r="K32" s="769">
        <v>0</v>
      </c>
      <c r="L32" s="769">
        <v>0</v>
      </c>
      <c r="M32" s="559">
        <v>244</v>
      </c>
      <c r="N32" s="559">
        <v>259</v>
      </c>
      <c r="O32" s="560">
        <v>233</v>
      </c>
    </row>
    <row r="33" spans="1:15" ht="18.75" thickBot="1">
      <c r="A33" s="350" t="s">
        <v>85</v>
      </c>
      <c r="B33" s="814" t="s">
        <v>305</v>
      </c>
      <c r="C33" s="769">
        <v>0</v>
      </c>
      <c r="D33" s="769">
        <v>0</v>
      </c>
      <c r="E33" s="769">
        <v>0</v>
      </c>
      <c r="F33" s="769">
        <v>0</v>
      </c>
      <c r="G33" s="769">
        <v>0</v>
      </c>
      <c r="H33" s="769">
        <v>0</v>
      </c>
      <c r="I33" s="769">
        <v>0</v>
      </c>
      <c r="J33" s="769">
        <v>0</v>
      </c>
      <c r="K33" s="769">
        <v>0</v>
      </c>
      <c r="L33" s="769">
        <v>0</v>
      </c>
      <c r="M33" s="561">
        <v>194</v>
      </c>
      <c r="N33" s="561">
        <v>126</v>
      </c>
      <c r="O33" s="562">
        <v>158</v>
      </c>
    </row>
    <row r="34" spans="1:15" ht="18.75" thickBot="1">
      <c r="A34" s="135" t="s">
        <v>23</v>
      </c>
      <c r="B34" s="808"/>
      <c r="C34" s="670">
        <f>C4+C5+C6+C7+C8+C9+C10+C11+C12+C13+C14+C15+C16+C17+C18+C19+C20+C21+C22+C23</f>
        <v>792</v>
      </c>
      <c r="D34" s="670">
        <f t="shared" ref="D34:H34" si="0">D4+D5+D6+D7+D8+D9+D10+D11+D12+D13+D14+D15+D16+D17+D18+D19+D20+D21+D22+D23</f>
        <v>945</v>
      </c>
      <c r="E34" s="670">
        <f t="shared" si="0"/>
        <v>1187</v>
      </c>
      <c r="F34" s="670">
        <f t="shared" si="0"/>
        <v>1112</v>
      </c>
      <c r="G34" s="670">
        <f t="shared" si="0"/>
        <v>1107</v>
      </c>
      <c r="H34" s="670">
        <f t="shared" si="0"/>
        <v>1031</v>
      </c>
      <c r="I34" s="672">
        <f t="shared" ref="I34:L34" si="1">I24+I25+I26+I27+I28+I29+I30</f>
        <v>1562</v>
      </c>
      <c r="J34" s="672">
        <f t="shared" si="1"/>
        <v>1095</v>
      </c>
      <c r="K34" s="672">
        <f t="shared" si="1"/>
        <v>879</v>
      </c>
      <c r="L34" s="672">
        <f t="shared" si="1"/>
        <v>836</v>
      </c>
      <c r="M34" s="673">
        <f>M31+M32+M33</f>
        <v>571</v>
      </c>
      <c r="N34" s="673">
        <f>N31+N32+N33</f>
        <v>518</v>
      </c>
      <c r="O34" s="673">
        <f>O31+O32+O33</f>
        <v>542</v>
      </c>
    </row>
  </sheetData>
  <mergeCells count="2">
    <mergeCell ref="I1:L2"/>
    <mergeCell ref="M1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8"/>
  <sheetViews>
    <sheetView workbookViewId="0">
      <selection activeCell="O7" sqref="O7"/>
    </sheetView>
  </sheetViews>
  <sheetFormatPr baseColWidth="10" defaultRowHeight="15"/>
  <cols>
    <col min="1" max="1" width="24" customWidth="1"/>
    <col min="2" max="2" width="11.42578125" style="12"/>
  </cols>
  <sheetData>
    <row r="1" spans="1:15" ht="15.75">
      <c r="A1" s="866" t="s">
        <v>3</v>
      </c>
      <c r="B1" s="201"/>
      <c r="C1" s="869" t="s">
        <v>6</v>
      </c>
      <c r="D1" s="870"/>
      <c r="E1" s="870"/>
      <c r="F1" s="870"/>
      <c r="G1" s="870"/>
      <c r="H1" s="870"/>
      <c r="I1" s="875" t="s">
        <v>7</v>
      </c>
      <c r="J1" s="876"/>
      <c r="K1" s="876"/>
      <c r="L1" s="876"/>
      <c r="M1" s="881" t="s">
        <v>8</v>
      </c>
      <c r="N1" s="882"/>
      <c r="O1" s="882"/>
    </row>
    <row r="2" spans="1:15" ht="16.5" thickBot="1">
      <c r="A2" s="867"/>
      <c r="B2" s="815"/>
      <c r="C2" s="872"/>
      <c r="D2" s="873"/>
      <c r="E2" s="873"/>
      <c r="F2" s="873"/>
      <c r="G2" s="873"/>
      <c r="H2" s="873"/>
      <c r="I2" s="878"/>
      <c r="J2" s="879"/>
      <c r="K2" s="879"/>
      <c r="L2" s="879"/>
      <c r="M2" s="884"/>
      <c r="N2" s="885"/>
      <c r="O2" s="885"/>
    </row>
    <row r="3" spans="1:15" ht="16.5" thickBot="1">
      <c r="A3" s="868"/>
      <c r="B3" s="774"/>
      <c r="C3" s="139" t="s">
        <v>10</v>
      </c>
      <c r="D3" s="140" t="s">
        <v>11</v>
      </c>
      <c r="E3" s="140" t="s">
        <v>12</v>
      </c>
      <c r="F3" s="140" t="s">
        <v>13</v>
      </c>
      <c r="G3" s="140" t="s">
        <v>14</v>
      </c>
      <c r="H3" s="141" t="s">
        <v>15</v>
      </c>
      <c r="I3" s="118" t="s">
        <v>11</v>
      </c>
      <c r="J3" s="780" t="s">
        <v>12</v>
      </c>
      <c r="K3" s="780" t="s">
        <v>13</v>
      </c>
      <c r="L3" s="779" t="s">
        <v>14</v>
      </c>
      <c r="M3" s="118" t="s">
        <v>11</v>
      </c>
      <c r="N3" s="779" t="s">
        <v>12</v>
      </c>
      <c r="O3" s="780" t="s">
        <v>13</v>
      </c>
    </row>
    <row r="4" spans="1:15" ht="18.75">
      <c r="A4" s="94" t="s">
        <v>68</v>
      </c>
      <c r="B4" s="810" t="s">
        <v>303</v>
      </c>
      <c r="C4" s="361">
        <v>28</v>
      </c>
      <c r="D4" s="361">
        <v>41</v>
      </c>
      <c r="E4" s="361">
        <v>78</v>
      </c>
      <c r="F4" s="361">
        <v>82</v>
      </c>
      <c r="G4" s="361">
        <v>83</v>
      </c>
      <c r="H4" s="361">
        <v>57</v>
      </c>
      <c r="I4" s="784">
        <v>0</v>
      </c>
      <c r="J4" s="768">
        <v>0</v>
      </c>
      <c r="K4" s="768">
        <v>0</v>
      </c>
      <c r="L4" s="768">
        <v>0</v>
      </c>
      <c r="M4" s="73">
        <v>0</v>
      </c>
      <c r="N4" s="73">
        <v>0</v>
      </c>
      <c r="O4" s="73">
        <v>0</v>
      </c>
    </row>
    <row r="5" spans="1:15" ht="18.75">
      <c r="A5" s="148" t="s">
        <v>86</v>
      </c>
      <c r="B5" s="810" t="s">
        <v>303</v>
      </c>
      <c r="C5" s="361">
        <v>47</v>
      </c>
      <c r="D5" s="361">
        <v>65</v>
      </c>
      <c r="E5" s="361">
        <v>92</v>
      </c>
      <c r="F5" s="361">
        <v>77</v>
      </c>
      <c r="G5" s="361">
        <v>95</v>
      </c>
      <c r="H5" s="361">
        <v>84</v>
      </c>
      <c r="I5" s="785">
        <v>0</v>
      </c>
      <c r="J5" s="769">
        <v>0</v>
      </c>
      <c r="K5" s="769">
        <v>0</v>
      </c>
      <c r="L5" s="769">
        <v>0</v>
      </c>
      <c r="M5" s="79">
        <v>0</v>
      </c>
      <c r="N5" s="79">
        <v>0</v>
      </c>
      <c r="O5" s="79">
        <v>0</v>
      </c>
    </row>
    <row r="6" spans="1:15" ht="19.5" thickBot="1">
      <c r="A6" s="77" t="s">
        <v>215</v>
      </c>
      <c r="B6" s="810" t="s">
        <v>303</v>
      </c>
      <c r="C6" s="361">
        <v>0</v>
      </c>
      <c r="D6" s="361">
        <v>4</v>
      </c>
      <c r="E6" s="361">
        <v>2</v>
      </c>
      <c r="F6" s="361">
        <v>0</v>
      </c>
      <c r="G6" s="361">
        <v>2</v>
      </c>
      <c r="H6" s="361">
        <v>0</v>
      </c>
      <c r="I6" s="786">
        <v>0</v>
      </c>
      <c r="J6" s="772">
        <v>0</v>
      </c>
      <c r="K6" s="772">
        <v>0</v>
      </c>
      <c r="L6" s="772">
        <v>0</v>
      </c>
      <c r="M6" s="79">
        <v>0</v>
      </c>
      <c r="N6" s="79">
        <v>0</v>
      </c>
      <c r="O6" s="79">
        <v>0</v>
      </c>
    </row>
    <row r="7" spans="1:15" ht="19.5" thickBot="1">
      <c r="A7" s="153" t="s">
        <v>87</v>
      </c>
      <c r="B7" s="817" t="s">
        <v>304</v>
      </c>
      <c r="C7" s="942"/>
      <c r="D7" s="943"/>
      <c r="E7" s="943"/>
      <c r="F7" s="943"/>
      <c r="G7" s="943"/>
      <c r="H7" s="943"/>
      <c r="I7" s="520">
        <v>171</v>
      </c>
      <c r="J7" s="521">
        <v>87</v>
      </c>
      <c r="K7" s="521">
        <v>92</v>
      </c>
      <c r="L7" s="521">
        <v>83</v>
      </c>
      <c r="M7" s="788">
        <v>0</v>
      </c>
      <c r="N7" s="79">
        <v>0</v>
      </c>
      <c r="O7" s="79">
        <v>0</v>
      </c>
    </row>
    <row r="8" spans="1:15" ht="21" thickBot="1">
      <c r="A8" s="97" t="s">
        <v>23</v>
      </c>
      <c r="B8" s="816"/>
      <c r="C8" s="524">
        <f>C4+C5+C6</f>
        <v>75</v>
      </c>
      <c r="D8" s="524">
        <f t="shared" ref="D8:H8" si="0">D4+D5+D6</f>
        <v>110</v>
      </c>
      <c r="E8" s="524">
        <f t="shared" si="0"/>
        <v>172</v>
      </c>
      <c r="F8" s="524">
        <f t="shared" si="0"/>
        <v>159</v>
      </c>
      <c r="G8" s="524">
        <f t="shared" si="0"/>
        <v>180</v>
      </c>
      <c r="H8" s="524">
        <f t="shared" si="0"/>
        <v>141</v>
      </c>
      <c r="I8" s="526">
        <f>I7</f>
        <v>171</v>
      </c>
      <c r="J8" s="526">
        <f t="shared" ref="J8:L8" si="1">J7</f>
        <v>87</v>
      </c>
      <c r="K8" s="526">
        <f t="shared" si="1"/>
        <v>92</v>
      </c>
      <c r="L8" s="526">
        <f t="shared" si="1"/>
        <v>83</v>
      </c>
      <c r="M8" s="528">
        <f>SUM(M4:M7)</f>
        <v>0</v>
      </c>
      <c r="N8" s="529">
        <f>SUM(N4:N7)</f>
        <v>0</v>
      </c>
      <c r="O8" s="530">
        <f>SUM(O4:O7)</f>
        <v>0</v>
      </c>
    </row>
  </sheetData>
  <mergeCells count="5">
    <mergeCell ref="A1:A3"/>
    <mergeCell ref="C1:H2"/>
    <mergeCell ref="I1:L2"/>
    <mergeCell ref="M1:O2"/>
    <mergeCell ref="C7:H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33"/>
  <sheetViews>
    <sheetView topLeftCell="C15" workbookViewId="0">
      <selection activeCell="O32" sqref="O32"/>
    </sheetView>
  </sheetViews>
  <sheetFormatPr baseColWidth="10" defaultRowHeight="15"/>
  <cols>
    <col min="1" max="1" width="31.85546875" customWidth="1"/>
    <col min="2" max="2" width="11.42578125" style="12"/>
  </cols>
  <sheetData>
    <row r="1" spans="1:15" ht="15.75">
      <c r="A1" s="945" t="s">
        <v>3</v>
      </c>
      <c r="B1" s="818"/>
      <c r="C1" s="924" t="s">
        <v>6</v>
      </c>
      <c r="D1" s="925"/>
      <c r="E1" s="925"/>
      <c r="F1" s="925"/>
      <c r="G1" s="925"/>
      <c r="H1" s="925"/>
      <c r="I1" s="930" t="s">
        <v>7</v>
      </c>
      <c r="J1" s="931"/>
      <c r="K1" s="931"/>
      <c r="L1" s="931"/>
      <c r="M1" s="936" t="s">
        <v>8</v>
      </c>
      <c r="N1" s="937"/>
      <c r="O1" s="937"/>
    </row>
    <row r="2" spans="1:15" ht="16.5" thickBot="1">
      <c r="A2" s="946"/>
      <c r="B2" s="819"/>
      <c r="C2" s="927"/>
      <c r="D2" s="928"/>
      <c r="E2" s="928"/>
      <c r="F2" s="928"/>
      <c r="G2" s="928"/>
      <c r="H2" s="928"/>
      <c r="I2" s="933"/>
      <c r="J2" s="934"/>
      <c r="K2" s="934"/>
      <c r="L2" s="934"/>
      <c r="M2" s="938"/>
      <c r="N2" s="939"/>
      <c r="O2" s="939"/>
    </row>
    <row r="3" spans="1:15" ht="16.5" thickBot="1">
      <c r="A3" s="947"/>
      <c r="B3" s="820"/>
      <c r="C3" s="160" t="s">
        <v>10</v>
      </c>
      <c r="D3" s="161" t="s">
        <v>11</v>
      </c>
      <c r="E3" s="161" t="s">
        <v>12</v>
      </c>
      <c r="F3" s="161" t="s">
        <v>13</v>
      </c>
      <c r="G3" s="161" t="s">
        <v>14</v>
      </c>
      <c r="H3" s="162" t="s">
        <v>15</v>
      </c>
      <c r="I3" s="164" t="s">
        <v>11</v>
      </c>
      <c r="J3" s="165" t="s">
        <v>12</v>
      </c>
      <c r="K3" s="165" t="s">
        <v>13</v>
      </c>
      <c r="L3" s="166" t="s">
        <v>14</v>
      </c>
      <c r="M3" s="164" t="s">
        <v>11</v>
      </c>
      <c r="N3" s="166" t="s">
        <v>12</v>
      </c>
      <c r="O3" s="165" t="s">
        <v>13</v>
      </c>
    </row>
    <row r="4" spans="1:15" ht="18.75">
      <c r="A4" s="70" t="s">
        <v>88</v>
      </c>
      <c r="B4" s="810" t="s">
        <v>303</v>
      </c>
      <c r="C4" s="361">
        <v>79</v>
      </c>
      <c r="D4" s="361">
        <v>117</v>
      </c>
      <c r="E4" s="361">
        <v>128</v>
      </c>
      <c r="F4" s="361">
        <v>134</v>
      </c>
      <c r="G4" s="361">
        <v>133</v>
      </c>
      <c r="H4" s="361">
        <v>143</v>
      </c>
      <c r="I4" s="784">
        <v>0</v>
      </c>
      <c r="J4" s="768">
        <v>0</v>
      </c>
      <c r="K4" s="768">
        <v>0</v>
      </c>
      <c r="L4" s="768">
        <v>0</v>
      </c>
      <c r="M4" s="768">
        <v>0</v>
      </c>
      <c r="N4" s="768">
        <v>0</v>
      </c>
      <c r="O4" s="768">
        <v>0</v>
      </c>
    </row>
    <row r="5" spans="1:15" ht="18.75">
      <c r="A5" s="77" t="s">
        <v>89</v>
      </c>
      <c r="B5" s="810" t="s">
        <v>303</v>
      </c>
      <c r="C5" s="361">
        <v>20</v>
      </c>
      <c r="D5" s="361">
        <v>36</v>
      </c>
      <c r="E5" s="361">
        <v>26</v>
      </c>
      <c r="F5" s="361">
        <v>30</v>
      </c>
      <c r="G5" s="361">
        <v>35</v>
      </c>
      <c r="H5" s="361">
        <v>26</v>
      </c>
      <c r="I5" s="785">
        <v>0</v>
      </c>
      <c r="J5" s="769">
        <v>0</v>
      </c>
      <c r="K5" s="769">
        <v>0</v>
      </c>
      <c r="L5" s="769">
        <v>0</v>
      </c>
      <c r="M5" s="769">
        <v>0</v>
      </c>
      <c r="N5" s="769">
        <v>0</v>
      </c>
      <c r="O5" s="769">
        <v>0</v>
      </c>
    </row>
    <row r="6" spans="1:15" ht="18.75">
      <c r="A6" s="77" t="s">
        <v>90</v>
      </c>
      <c r="B6" s="810" t="s">
        <v>303</v>
      </c>
      <c r="C6" s="361">
        <v>100</v>
      </c>
      <c r="D6" s="361">
        <v>117</v>
      </c>
      <c r="E6" s="361">
        <v>138</v>
      </c>
      <c r="F6" s="361">
        <v>164</v>
      </c>
      <c r="G6" s="361">
        <v>141</v>
      </c>
      <c r="H6" s="361">
        <v>99</v>
      </c>
      <c r="I6" s="785">
        <v>0</v>
      </c>
      <c r="J6" s="769">
        <v>0</v>
      </c>
      <c r="K6" s="769">
        <v>0</v>
      </c>
      <c r="L6" s="769">
        <v>0</v>
      </c>
      <c r="M6" s="769">
        <v>0</v>
      </c>
      <c r="N6" s="769">
        <v>0</v>
      </c>
      <c r="O6" s="769">
        <v>0</v>
      </c>
    </row>
    <row r="7" spans="1:15" ht="18.75">
      <c r="A7" s="77" t="s">
        <v>91</v>
      </c>
      <c r="B7" s="810" t="s">
        <v>303</v>
      </c>
      <c r="C7" s="361">
        <v>37</v>
      </c>
      <c r="D7" s="361">
        <v>39</v>
      </c>
      <c r="E7" s="361">
        <v>37</v>
      </c>
      <c r="F7" s="361">
        <v>46</v>
      </c>
      <c r="G7" s="361">
        <v>37</v>
      </c>
      <c r="H7" s="361">
        <v>43</v>
      </c>
      <c r="I7" s="785">
        <v>0</v>
      </c>
      <c r="J7" s="769">
        <v>0</v>
      </c>
      <c r="K7" s="769">
        <v>0</v>
      </c>
      <c r="L7" s="769">
        <v>0</v>
      </c>
      <c r="M7" s="769">
        <v>0</v>
      </c>
      <c r="N7" s="769">
        <v>0</v>
      </c>
      <c r="O7" s="769">
        <v>0</v>
      </c>
    </row>
    <row r="8" spans="1:15" ht="18.75">
      <c r="A8" s="77" t="s">
        <v>92</v>
      </c>
      <c r="B8" s="810" t="s">
        <v>303</v>
      </c>
      <c r="C8" s="361">
        <v>33</v>
      </c>
      <c r="D8" s="361">
        <v>53</v>
      </c>
      <c r="E8" s="361">
        <v>54</v>
      </c>
      <c r="F8" s="361">
        <v>55</v>
      </c>
      <c r="G8" s="361">
        <v>47</v>
      </c>
      <c r="H8" s="361">
        <v>44</v>
      </c>
      <c r="I8" s="785">
        <v>0</v>
      </c>
      <c r="J8" s="769">
        <v>0</v>
      </c>
      <c r="K8" s="769">
        <v>0</v>
      </c>
      <c r="L8" s="769">
        <v>0</v>
      </c>
      <c r="M8" s="769">
        <v>0</v>
      </c>
      <c r="N8" s="769">
        <v>0</v>
      </c>
      <c r="O8" s="769">
        <v>0</v>
      </c>
    </row>
    <row r="9" spans="1:15" ht="18.75">
      <c r="A9" s="77" t="s">
        <v>93</v>
      </c>
      <c r="B9" s="810" t="s">
        <v>303</v>
      </c>
      <c r="C9" s="361">
        <v>65</v>
      </c>
      <c r="D9" s="361">
        <v>94</v>
      </c>
      <c r="E9" s="361">
        <v>123</v>
      </c>
      <c r="F9" s="361">
        <v>116</v>
      </c>
      <c r="G9" s="361">
        <v>122</v>
      </c>
      <c r="H9" s="361">
        <v>103</v>
      </c>
      <c r="I9" s="785">
        <v>0</v>
      </c>
      <c r="J9" s="769">
        <v>0</v>
      </c>
      <c r="K9" s="769">
        <v>0</v>
      </c>
      <c r="L9" s="769">
        <v>0</v>
      </c>
      <c r="M9" s="769">
        <v>0</v>
      </c>
      <c r="N9" s="769">
        <v>0</v>
      </c>
      <c r="O9" s="769">
        <v>0</v>
      </c>
    </row>
    <row r="10" spans="1:15" ht="18.75">
      <c r="A10" s="77" t="s">
        <v>94</v>
      </c>
      <c r="B10" s="810" t="s">
        <v>303</v>
      </c>
      <c r="C10" s="361">
        <v>67</v>
      </c>
      <c r="D10" s="361">
        <v>74</v>
      </c>
      <c r="E10" s="361">
        <v>77</v>
      </c>
      <c r="F10" s="361">
        <v>79</v>
      </c>
      <c r="G10" s="361">
        <v>86</v>
      </c>
      <c r="H10" s="361">
        <v>64</v>
      </c>
      <c r="I10" s="785">
        <v>0</v>
      </c>
      <c r="J10" s="769">
        <v>0</v>
      </c>
      <c r="K10" s="769">
        <v>0</v>
      </c>
      <c r="L10" s="769">
        <v>0</v>
      </c>
      <c r="M10" s="769">
        <v>0</v>
      </c>
      <c r="N10" s="769">
        <v>0</v>
      </c>
      <c r="O10" s="769">
        <v>0</v>
      </c>
    </row>
    <row r="11" spans="1:15" ht="18.75">
      <c r="A11" s="186" t="s">
        <v>95</v>
      </c>
      <c r="B11" s="810" t="s">
        <v>303</v>
      </c>
      <c r="C11" s="19">
        <v>55</v>
      </c>
      <c r="D11" s="19">
        <v>68</v>
      </c>
      <c r="E11" s="19">
        <v>71</v>
      </c>
      <c r="F11" s="19">
        <v>83</v>
      </c>
      <c r="G11" s="19">
        <v>55</v>
      </c>
      <c r="H11" s="19">
        <v>67</v>
      </c>
      <c r="I11" s="785">
        <v>0</v>
      </c>
      <c r="J11" s="769">
        <v>0</v>
      </c>
      <c r="K11" s="769">
        <v>0</v>
      </c>
      <c r="L11" s="769">
        <v>0</v>
      </c>
      <c r="M11" s="769">
        <v>0</v>
      </c>
      <c r="N11" s="769">
        <v>0</v>
      </c>
      <c r="O11" s="769">
        <v>0</v>
      </c>
    </row>
    <row r="12" spans="1:15" ht="18.75">
      <c r="A12" s="77" t="s">
        <v>204</v>
      </c>
      <c r="B12" s="810" t="s">
        <v>303</v>
      </c>
      <c r="C12" s="361">
        <v>32</v>
      </c>
      <c r="D12" s="361">
        <v>65</v>
      </c>
      <c r="E12" s="361">
        <v>53</v>
      </c>
      <c r="F12" s="361">
        <v>51</v>
      </c>
      <c r="G12" s="361">
        <v>60</v>
      </c>
      <c r="H12" s="361">
        <v>60</v>
      </c>
      <c r="I12" s="785">
        <v>0</v>
      </c>
      <c r="J12" s="769">
        <v>0</v>
      </c>
      <c r="K12" s="769">
        <v>0</v>
      </c>
      <c r="L12" s="769">
        <v>0</v>
      </c>
      <c r="M12" s="769">
        <v>0</v>
      </c>
      <c r="N12" s="769">
        <v>0</v>
      </c>
      <c r="O12" s="769">
        <v>0</v>
      </c>
    </row>
    <row r="13" spans="1:15" ht="18.75">
      <c r="A13" s="77" t="s">
        <v>96</v>
      </c>
      <c r="B13" s="810" t="s">
        <v>303</v>
      </c>
      <c r="C13" s="361">
        <v>59</v>
      </c>
      <c r="D13" s="361">
        <v>55</v>
      </c>
      <c r="E13" s="361">
        <v>94</v>
      </c>
      <c r="F13" s="361">
        <v>72</v>
      </c>
      <c r="G13" s="361">
        <v>70</v>
      </c>
      <c r="H13" s="361">
        <v>65</v>
      </c>
      <c r="I13" s="785">
        <v>0</v>
      </c>
      <c r="J13" s="769">
        <v>0</v>
      </c>
      <c r="K13" s="769">
        <v>0</v>
      </c>
      <c r="L13" s="769">
        <v>0</v>
      </c>
      <c r="M13" s="769">
        <v>0</v>
      </c>
      <c r="N13" s="769">
        <v>0</v>
      </c>
      <c r="O13" s="769">
        <v>0</v>
      </c>
    </row>
    <row r="14" spans="1:15" ht="18.75">
      <c r="A14" s="77" t="s">
        <v>52</v>
      </c>
      <c r="B14" s="810" t="s">
        <v>303</v>
      </c>
      <c r="C14" s="361">
        <v>52</v>
      </c>
      <c r="D14" s="361">
        <v>55</v>
      </c>
      <c r="E14" s="361">
        <v>69</v>
      </c>
      <c r="F14" s="361">
        <v>88</v>
      </c>
      <c r="G14" s="361">
        <v>74</v>
      </c>
      <c r="H14" s="361">
        <v>69</v>
      </c>
      <c r="I14" s="785">
        <v>0</v>
      </c>
      <c r="J14" s="769">
        <v>0</v>
      </c>
      <c r="K14" s="769">
        <v>0</v>
      </c>
      <c r="L14" s="769">
        <v>0</v>
      </c>
      <c r="M14" s="769">
        <v>0</v>
      </c>
      <c r="N14" s="769">
        <v>0</v>
      </c>
      <c r="O14" s="769">
        <v>0</v>
      </c>
    </row>
    <row r="15" spans="1:15" ht="18.75">
      <c r="A15" s="77" t="s">
        <v>97</v>
      </c>
      <c r="B15" s="810" t="s">
        <v>303</v>
      </c>
      <c r="C15" s="361">
        <v>68</v>
      </c>
      <c r="D15" s="361">
        <v>64</v>
      </c>
      <c r="E15" s="361">
        <v>106</v>
      </c>
      <c r="F15" s="361">
        <v>97</v>
      </c>
      <c r="G15" s="361">
        <v>95</v>
      </c>
      <c r="H15" s="361">
        <v>82</v>
      </c>
      <c r="I15" s="785">
        <v>0</v>
      </c>
      <c r="J15" s="769">
        <v>0</v>
      </c>
      <c r="K15" s="769">
        <v>0</v>
      </c>
      <c r="L15" s="769">
        <v>0</v>
      </c>
      <c r="M15" s="769">
        <v>0</v>
      </c>
      <c r="N15" s="769">
        <v>0</v>
      </c>
      <c r="O15" s="769">
        <v>0</v>
      </c>
    </row>
    <row r="16" spans="1:15" ht="18.75">
      <c r="A16" s="77" t="s">
        <v>98</v>
      </c>
      <c r="B16" s="810" t="s">
        <v>303</v>
      </c>
      <c r="C16" s="361">
        <v>81</v>
      </c>
      <c r="D16" s="361">
        <v>84</v>
      </c>
      <c r="E16" s="361">
        <v>80</v>
      </c>
      <c r="F16" s="361">
        <v>105</v>
      </c>
      <c r="G16" s="361">
        <v>88</v>
      </c>
      <c r="H16" s="361">
        <v>88</v>
      </c>
      <c r="I16" s="785">
        <v>0</v>
      </c>
      <c r="J16" s="769">
        <v>0</v>
      </c>
      <c r="K16" s="769">
        <v>0</v>
      </c>
      <c r="L16" s="769">
        <v>0</v>
      </c>
      <c r="M16" s="769">
        <v>0</v>
      </c>
      <c r="N16" s="769">
        <v>0</v>
      </c>
      <c r="O16" s="769">
        <v>0</v>
      </c>
    </row>
    <row r="17" spans="1:15" ht="18.75">
      <c r="A17" s="77" t="s">
        <v>99</v>
      </c>
      <c r="B17" s="810" t="s">
        <v>303</v>
      </c>
      <c r="C17" s="361">
        <v>53</v>
      </c>
      <c r="D17" s="361">
        <v>70</v>
      </c>
      <c r="E17" s="361">
        <v>85</v>
      </c>
      <c r="F17" s="361">
        <v>56</v>
      </c>
      <c r="G17" s="361">
        <v>65</v>
      </c>
      <c r="H17" s="361">
        <v>52</v>
      </c>
      <c r="I17" s="785">
        <v>0</v>
      </c>
      <c r="J17" s="769">
        <v>0</v>
      </c>
      <c r="K17" s="769">
        <v>0</v>
      </c>
      <c r="L17" s="769">
        <v>0</v>
      </c>
      <c r="M17" s="769">
        <v>0</v>
      </c>
      <c r="N17" s="769">
        <v>0</v>
      </c>
      <c r="O17" s="769">
        <v>0</v>
      </c>
    </row>
    <row r="18" spans="1:15" ht="18.75">
      <c r="A18" s="77" t="s">
        <v>205</v>
      </c>
      <c r="B18" s="810" t="s">
        <v>303</v>
      </c>
      <c r="C18" s="361">
        <v>23</v>
      </c>
      <c r="D18" s="361">
        <v>49</v>
      </c>
      <c r="E18" s="361">
        <v>62</v>
      </c>
      <c r="F18" s="361">
        <v>45</v>
      </c>
      <c r="G18" s="361">
        <v>50</v>
      </c>
      <c r="H18" s="361">
        <v>53</v>
      </c>
      <c r="I18" s="785">
        <v>0</v>
      </c>
      <c r="J18" s="769">
        <v>0</v>
      </c>
      <c r="K18" s="769">
        <v>0</v>
      </c>
      <c r="L18" s="769">
        <v>0</v>
      </c>
      <c r="M18" s="769">
        <v>0</v>
      </c>
      <c r="N18" s="769">
        <v>0</v>
      </c>
      <c r="O18" s="769">
        <v>0</v>
      </c>
    </row>
    <row r="19" spans="1:15" ht="18.75">
      <c r="A19" s="77" t="s">
        <v>206</v>
      </c>
      <c r="B19" s="810" t="s">
        <v>303</v>
      </c>
      <c r="C19" s="361">
        <v>7</v>
      </c>
      <c r="D19" s="361">
        <v>8</v>
      </c>
      <c r="E19" s="361">
        <v>11</v>
      </c>
      <c r="F19" s="361">
        <v>6</v>
      </c>
      <c r="G19" s="361">
        <v>16</v>
      </c>
      <c r="H19" s="361">
        <v>0</v>
      </c>
      <c r="I19" s="785"/>
      <c r="J19" s="769"/>
      <c r="K19" s="769"/>
      <c r="L19" s="769"/>
      <c r="M19" s="769"/>
      <c r="N19" s="769"/>
      <c r="O19" s="769"/>
    </row>
    <row r="20" spans="1:15" ht="18.75">
      <c r="A20" s="128" t="s">
        <v>207</v>
      </c>
      <c r="B20" s="810" t="s">
        <v>303</v>
      </c>
      <c r="C20" s="361">
        <v>13</v>
      </c>
      <c r="D20" s="361">
        <v>12</v>
      </c>
      <c r="E20" s="361">
        <v>22</v>
      </c>
      <c r="F20" s="361">
        <v>20</v>
      </c>
      <c r="G20" s="361">
        <v>22</v>
      </c>
      <c r="H20" s="361">
        <v>20</v>
      </c>
      <c r="I20" s="785">
        <v>0</v>
      </c>
      <c r="J20" s="769">
        <v>0</v>
      </c>
      <c r="K20" s="769">
        <v>0</v>
      </c>
      <c r="L20" s="769">
        <v>0</v>
      </c>
      <c r="M20" s="769">
        <v>0</v>
      </c>
      <c r="N20" s="769">
        <v>0</v>
      </c>
      <c r="O20" s="769">
        <v>0</v>
      </c>
    </row>
    <row r="21" spans="1:15" ht="18.75">
      <c r="A21" s="77" t="s">
        <v>208</v>
      </c>
      <c r="B21" s="810" t="s">
        <v>303</v>
      </c>
      <c r="C21" s="361">
        <v>0</v>
      </c>
      <c r="D21" s="361">
        <v>9</v>
      </c>
      <c r="E21" s="361">
        <v>7</v>
      </c>
      <c r="F21" s="361">
        <v>12</v>
      </c>
      <c r="G21" s="361">
        <v>8</v>
      </c>
      <c r="H21" s="362">
        <v>10</v>
      </c>
      <c r="I21" s="769">
        <v>0</v>
      </c>
      <c r="J21" s="769">
        <v>0</v>
      </c>
      <c r="K21" s="769">
        <v>0</v>
      </c>
      <c r="L21" s="769">
        <v>0</v>
      </c>
      <c r="M21" s="769">
        <v>0</v>
      </c>
      <c r="N21" s="769">
        <v>0</v>
      </c>
      <c r="O21" s="769">
        <v>0</v>
      </c>
    </row>
    <row r="22" spans="1:15" ht="18.75">
      <c r="A22" s="77" t="s">
        <v>100</v>
      </c>
      <c r="B22" s="810" t="s">
        <v>303</v>
      </c>
      <c r="C22" s="361">
        <v>0</v>
      </c>
      <c r="D22" s="361">
        <v>4</v>
      </c>
      <c r="E22" s="361">
        <v>4</v>
      </c>
      <c r="F22" s="361">
        <v>8</v>
      </c>
      <c r="G22" s="361">
        <v>6</v>
      </c>
      <c r="H22" s="362">
        <v>7</v>
      </c>
      <c r="I22" s="769"/>
      <c r="J22" s="769"/>
      <c r="K22" s="769"/>
      <c r="L22" s="769"/>
      <c r="M22" s="769"/>
      <c r="N22" s="769"/>
      <c r="O22" s="769"/>
    </row>
    <row r="23" spans="1:15" ht="18.75">
      <c r="A23" s="170" t="s">
        <v>245</v>
      </c>
      <c r="B23" s="810" t="s">
        <v>303</v>
      </c>
      <c r="C23" s="361">
        <v>0</v>
      </c>
      <c r="D23" s="361">
        <v>0</v>
      </c>
      <c r="E23" s="361">
        <v>0</v>
      </c>
      <c r="F23" s="361">
        <v>0</v>
      </c>
      <c r="G23" s="361">
        <v>0</v>
      </c>
      <c r="H23" s="362">
        <v>0</v>
      </c>
      <c r="I23" s="769">
        <v>0</v>
      </c>
      <c r="J23" s="769">
        <v>0</v>
      </c>
      <c r="K23" s="769" t="s">
        <v>254</v>
      </c>
      <c r="L23" s="769">
        <v>0</v>
      </c>
      <c r="M23" s="769">
        <v>0</v>
      </c>
      <c r="N23" s="769">
        <v>0</v>
      </c>
      <c r="O23" s="769">
        <v>0</v>
      </c>
    </row>
    <row r="24" spans="1:15" ht="19.5" thickBot="1">
      <c r="A24" s="95" t="s">
        <v>246</v>
      </c>
      <c r="B24" s="810" t="s">
        <v>303</v>
      </c>
      <c r="C24" s="365">
        <v>0</v>
      </c>
      <c r="D24" s="365">
        <v>4</v>
      </c>
      <c r="E24" s="365">
        <v>2</v>
      </c>
      <c r="F24" s="365">
        <v>4</v>
      </c>
      <c r="G24" s="365">
        <v>6</v>
      </c>
      <c r="H24" s="366">
        <v>0</v>
      </c>
      <c r="I24" s="769"/>
      <c r="J24" s="769"/>
      <c r="K24" s="769"/>
      <c r="L24" s="769"/>
      <c r="M24" s="769"/>
      <c r="N24" s="769"/>
      <c r="O24" s="769"/>
    </row>
    <row r="25" spans="1:15" ht="19.5" thickBot="1">
      <c r="A25" s="171" t="s">
        <v>101</v>
      </c>
      <c r="B25" s="821" t="s">
        <v>304</v>
      </c>
      <c r="C25" s="948">
        <v>0</v>
      </c>
      <c r="D25" s="949"/>
      <c r="E25" s="949"/>
      <c r="F25" s="949"/>
      <c r="G25" s="949"/>
      <c r="H25" s="949"/>
      <c r="I25" s="485">
        <v>316</v>
      </c>
      <c r="J25" s="486">
        <v>211</v>
      </c>
      <c r="K25" s="486">
        <v>174</v>
      </c>
      <c r="L25" s="487">
        <v>203</v>
      </c>
      <c r="M25" s="769">
        <v>0</v>
      </c>
      <c r="N25" s="769">
        <v>0</v>
      </c>
      <c r="O25" s="769">
        <v>0</v>
      </c>
    </row>
    <row r="26" spans="1:15" ht="19.5" thickBot="1">
      <c r="A26" s="173" t="s">
        <v>103</v>
      </c>
      <c r="B26" s="821" t="s">
        <v>304</v>
      </c>
      <c r="C26" s="951"/>
      <c r="D26" s="952"/>
      <c r="E26" s="952"/>
      <c r="F26" s="952"/>
      <c r="G26" s="952"/>
      <c r="H26" s="952"/>
      <c r="I26" s="489">
        <v>413</v>
      </c>
      <c r="J26" s="490">
        <v>221</v>
      </c>
      <c r="K26" s="490">
        <v>257</v>
      </c>
      <c r="L26" s="491">
        <v>214</v>
      </c>
      <c r="M26" s="769">
        <v>0</v>
      </c>
      <c r="N26" s="769">
        <v>0</v>
      </c>
      <c r="O26" s="769">
        <v>0</v>
      </c>
    </row>
    <row r="27" spans="1:15" ht="19.5" thickBot="1">
      <c r="A27" s="173" t="s">
        <v>209</v>
      </c>
      <c r="B27" s="821" t="s">
        <v>304</v>
      </c>
      <c r="C27" s="951"/>
      <c r="D27" s="952"/>
      <c r="E27" s="952"/>
      <c r="F27" s="952"/>
      <c r="G27" s="952"/>
      <c r="H27" s="952"/>
      <c r="I27" s="489">
        <v>345</v>
      </c>
      <c r="J27" s="490">
        <v>220</v>
      </c>
      <c r="K27" s="490">
        <v>172</v>
      </c>
      <c r="L27" s="491">
        <v>163</v>
      </c>
      <c r="M27" s="769">
        <v>0</v>
      </c>
      <c r="N27" s="769">
        <v>0</v>
      </c>
      <c r="O27" s="769">
        <v>0</v>
      </c>
    </row>
    <row r="28" spans="1:15" ht="19.5" thickBot="1">
      <c r="A28" s="173" t="s">
        <v>287</v>
      </c>
      <c r="B28" s="821" t="s">
        <v>304</v>
      </c>
      <c r="C28" s="951"/>
      <c r="D28" s="952"/>
      <c r="E28" s="952"/>
      <c r="F28" s="952"/>
      <c r="G28" s="952"/>
      <c r="H28" s="952"/>
      <c r="I28" s="489">
        <v>261</v>
      </c>
      <c r="J28" s="490">
        <v>136</v>
      </c>
      <c r="K28" s="490">
        <v>111</v>
      </c>
      <c r="L28" s="491">
        <v>121</v>
      </c>
      <c r="M28" s="769"/>
      <c r="N28" s="769"/>
      <c r="O28" s="769"/>
    </row>
    <row r="29" spans="1:15" ht="19.5" thickBot="1">
      <c r="A29" s="173" t="s">
        <v>102</v>
      </c>
      <c r="B29" s="821" t="s">
        <v>304</v>
      </c>
      <c r="C29" s="951"/>
      <c r="D29" s="952"/>
      <c r="E29" s="952"/>
      <c r="F29" s="952"/>
      <c r="G29" s="952"/>
      <c r="H29" s="952"/>
      <c r="I29" s="489">
        <v>233</v>
      </c>
      <c r="J29" s="490">
        <v>151</v>
      </c>
      <c r="K29" s="490">
        <v>140</v>
      </c>
      <c r="L29" s="491">
        <v>144</v>
      </c>
      <c r="M29" s="772">
        <v>0</v>
      </c>
      <c r="N29" s="772">
        <v>0</v>
      </c>
      <c r="O29" s="772">
        <v>0</v>
      </c>
    </row>
    <row r="30" spans="1:15" ht="18.75">
      <c r="A30" s="174" t="s">
        <v>104</v>
      </c>
      <c r="B30" s="822" t="s">
        <v>305</v>
      </c>
      <c r="C30" s="951"/>
      <c r="D30" s="952"/>
      <c r="E30" s="952"/>
      <c r="F30" s="952"/>
      <c r="G30" s="952"/>
      <c r="H30" s="952"/>
      <c r="I30" s="494"/>
      <c r="J30" s="495"/>
      <c r="K30" s="495"/>
      <c r="L30" s="496"/>
      <c r="M30" s="498">
        <v>241</v>
      </c>
      <c r="N30" s="498">
        <v>147</v>
      </c>
      <c r="O30" s="498">
        <v>123</v>
      </c>
    </row>
    <row r="31" spans="1:15" ht="18.75">
      <c r="A31" s="174" t="s">
        <v>105</v>
      </c>
      <c r="B31" s="822" t="s">
        <v>305</v>
      </c>
      <c r="C31" s="951"/>
      <c r="D31" s="952"/>
      <c r="E31" s="952"/>
      <c r="F31" s="952"/>
      <c r="G31" s="952"/>
      <c r="H31" s="952"/>
      <c r="I31" s="500"/>
      <c r="J31" s="455"/>
      <c r="K31" s="455"/>
      <c r="L31" s="501"/>
      <c r="M31" s="498">
        <v>136</v>
      </c>
      <c r="N31" s="498">
        <v>105</v>
      </c>
      <c r="O31" s="498">
        <v>139</v>
      </c>
    </row>
    <row r="32" spans="1:15" ht="19.5" thickBot="1">
      <c r="A32" s="174" t="s">
        <v>106</v>
      </c>
      <c r="B32" s="822" t="s">
        <v>305</v>
      </c>
      <c r="C32" s="954"/>
      <c r="D32" s="955"/>
      <c r="E32" s="955"/>
      <c r="F32" s="955"/>
      <c r="G32" s="955"/>
      <c r="H32" s="955"/>
      <c r="I32" s="503"/>
      <c r="J32" s="504"/>
      <c r="K32" s="504"/>
      <c r="L32" s="501"/>
      <c r="M32" s="498">
        <v>200</v>
      </c>
      <c r="N32" s="498">
        <v>174</v>
      </c>
      <c r="O32" s="498">
        <v>193</v>
      </c>
    </row>
    <row r="33" spans="1:15" ht="18.75" thickBot="1">
      <c r="A33" s="135" t="s">
        <v>23</v>
      </c>
      <c r="B33" s="774"/>
      <c r="C33" s="506">
        <f>C4+C5+C6+C7+C8+C9+C10+C11+C12+C13+C14+C15+C16+C17+C18+C19+C20+C21+C22+C23+C24</f>
        <v>844</v>
      </c>
      <c r="D33" s="506">
        <f t="shared" ref="D33:H33" si="0">D4+D5+D6+D7+D8+D9+D10+D11+D12+D13+D14+D15+D16+D17+D18+D19+D20+D21+D22+D23+D24</f>
        <v>1077</v>
      </c>
      <c r="E33" s="506">
        <f t="shared" si="0"/>
        <v>1249</v>
      </c>
      <c r="F33" s="506">
        <f t="shared" si="0"/>
        <v>1271</v>
      </c>
      <c r="G33" s="506">
        <f t="shared" si="0"/>
        <v>1216</v>
      </c>
      <c r="H33" s="506">
        <f t="shared" si="0"/>
        <v>1095</v>
      </c>
      <c r="I33" s="508">
        <f>I25+I26+I27+I29</f>
        <v>1307</v>
      </c>
      <c r="J33" s="509">
        <f t="shared" ref="J33:L33" si="1">J25+J26+J27+J29</f>
        <v>803</v>
      </c>
      <c r="K33" s="510">
        <f t="shared" si="1"/>
        <v>743</v>
      </c>
      <c r="L33" s="511">
        <f t="shared" si="1"/>
        <v>724</v>
      </c>
      <c r="M33" s="513">
        <f>M30+M31+M32</f>
        <v>577</v>
      </c>
      <c r="N33" s="513">
        <f t="shared" ref="N33:O33" si="2">N30+N31+N32</f>
        <v>426</v>
      </c>
      <c r="O33" s="513">
        <f t="shared" si="2"/>
        <v>455</v>
      </c>
    </row>
  </sheetData>
  <mergeCells count="5">
    <mergeCell ref="A1:A3"/>
    <mergeCell ref="C1:H2"/>
    <mergeCell ref="I1:L2"/>
    <mergeCell ref="M1:O2"/>
    <mergeCell ref="C25:H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topLeftCell="C1" workbookViewId="0">
      <selection activeCell="O18" sqref="O18"/>
    </sheetView>
  </sheetViews>
  <sheetFormatPr baseColWidth="10" defaultRowHeight="15"/>
  <cols>
    <col min="1" max="1" width="30.28515625" customWidth="1"/>
    <col min="2" max="2" width="11.42578125" style="12"/>
  </cols>
  <sheetData>
    <row r="1" spans="1:15" ht="15.75">
      <c r="A1" s="902" t="s">
        <v>3</v>
      </c>
      <c r="B1" s="823"/>
      <c r="C1" s="869" t="s">
        <v>6</v>
      </c>
      <c r="D1" s="870"/>
      <c r="E1" s="870"/>
      <c r="F1" s="870"/>
      <c r="G1" s="870"/>
      <c r="H1" s="870"/>
      <c r="I1" s="875" t="s">
        <v>7</v>
      </c>
      <c r="J1" s="876"/>
      <c r="K1" s="876"/>
      <c r="L1" s="876"/>
      <c r="M1" s="881" t="s">
        <v>8</v>
      </c>
      <c r="N1" s="882"/>
      <c r="O1" s="882"/>
    </row>
    <row r="2" spans="1:15" ht="16.5" thickBot="1">
      <c r="A2" s="903"/>
      <c r="B2" s="824"/>
      <c r="C2" s="872"/>
      <c r="D2" s="873"/>
      <c r="E2" s="873"/>
      <c r="F2" s="873"/>
      <c r="G2" s="873"/>
      <c r="H2" s="873"/>
      <c r="I2" s="878"/>
      <c r="J2" s="879"/>
      <c r="K2" s="879"/>
      <c r="L2" s="879"/>
      <c r="M2" s="884"/>
      <c r="N2" s="885"/>
      <c r="O2" s="885"/>
    </row>
    <row r="3" spans="1:15" ht="16.5" thickBot="1">
      <c r="A3" s="904"/>
      <c r="B3" s="825"/>
      <c r="C3" s="178" t="s">
        <v>10</v>
      </c>
      <c r="D3" s="179" t="s">
        <v>11</v>
      </c>
      <c r="E3" s="179" t="s">
        <v>12</v>
      </c>
      <c r="F3" s="179" t="s">
        <v>13</v>
      </c>
      <c r="G3" s="179" t="s">
        <v>14</v>
      </c>
      <c r="H3" s="180" t="s">
        <v>15</v>
      </c>
      <c r="I3" s="164" t="s">
        <v>11</v>
      </c>
      <c r="J3" s="165" t="s">
        <v>12</v>
      </c>
      <c r="K3" s="165" t="s">
        <v>13</v>
      </c>
      <c r="L3" s="166" t="s">
        <v>14</v>
      </c>
      <c r="M3" s="164" t="s">
        <v>11</v>
      </c>
      <c r="N3" s="166" t="s">
        <v>12</v>
      </c>
      <c r="O3" s="165" t="s">
        <v>13</v>
      </c>
    </row>
    <row r="4" spans="1:15" ht="18.75">
      <c r="A4" s="183" t="s">
        <v>107</v>
      </c>
      <c r="B4" s="826" t="s">
        <v>303</v>
      </c>
      <c r="C4" s="376">
        <v>28</v>
      </c>
      <c r="D4" s="377">
        <v>26</v>
      </c>
      <c r="E4" s="377">
        <v>28</v>
      </c>
      <c r="F4" s="377">
        <v>27</v>
      </c>
      <c r="G4" s="377">
        <v>30</v>
      </c>
      <c r="H4" s="563">
        <v>48</v>
      </c>
      <c r="I4" s="784">
        <v>0</v>
      </c>
      <c r="J4" s="768">
        <v>0</v>
      </c>
      <c r="K4" s="768">
        <v>0</v>
      </c>
      <c r="L4" s="770">
        <v>0</v>
      </c>
      <c r="M4" s="768">
        <v>0</v>
      </c>
      <c r="N4" s="768">
        <v>0</v>
      </c>
      <c r="O4" s="768">
        <v>0</v>
      </c>
    </row>
    <row r="5" spans="1:15" ht="18.75">
      <c r="A5" s="186" t="s">
        <v>108</v>
      </c>
      <c r="B5" s="826" t="s">
        <v>303</v>
      </c>
      <c r="C5" s="379">
        <v>50</v>
      </c>
      <c r="D5" s="380">
        <v>46</v>
      </c>
      <c r="E5" s="380">
        <v>82</v>
      </c>
      <c r="F5" s="380">
        <v>64</v>
      </c>
      <c r="G5" s="380">
        <v>54</v>
      </c>
      <c r="H5" s="438">
        <v>65</v>
      </c>
      <c r="I5" s="785">
        <v>0</v>
      </c>
      <c r="J5" s="769">
        <v>0</v>
      </c>
      <c r="K5" s="769">
        <v>0</v>
      </c>
      <c r="L5" s="771">
        <v>0</v>
      </c>
      <c r="M5" s="769">
        <v>0</v>
      </c>
      <c r="N5" s="769">
        <v>0</v>
      </c>
      <c r="O5" s="769">
        <v>0</v>
      </c>
    </row>
    <row r="6" spans="1:15" ht="18.75">
      <c r="A6" s="186" t="s">
        <v>281</v>
      </c>
      <c r="B6" s="826" t="s">
        <v>303</v>
      </c>
      <c r="C6" s="379">
        <v>0</v>
      </c>
      <c r="D6" s="380">
        <v>10</v>
      </c>
      <c r="E6" s="380">
        <v>4</v>
      </c>
      <c r="F6" s="380">
        <v>7</v>
      </c>
      <c r="G6" s="380">
        <v>9</v>
      </c>
      <c r="H6" s="438">
        <v>10</v>
      </c>
      <c r="I6" s="785">
        <v>0</v>
      </c>
      <c r="J6" s="769">
        <v>0</v>
      </c>
      <c r="K6" s="769">
        <v>0</v>
      </c>
      <c r="L6" s="771">
        <v>0</v>
      </c>
      <c r="M6" s="769">
        <v>0</v>
      </c>
      <c r="N6" s="769">
        <v>0</v>
      </c>
      <c r="O6" s="769">
        <v>0</v>
      </c>
    </row>
    <row r="7" spans="1:15" ht="18.75">
      <c r="A7" s="186" t="s">
        <v>109</v>
      </c>
      <c r="B7" s="826" t="s">
        <v>303</v>
      </c>
      <c r="C7" s="379">
        <v>0</v>
      </c>
      <c r="D7" s="380">
        <v>11</v>
      </c>
      <c r="E7" s="380">
        <v>20</v>
      </c>
      <c r="F7" s="380">
        <v>23</v>
      </c>
      <c r="G7" s="380">
        <v>17</v>
      </c>
      <c r="H7" s="438">
        <v>17</v>
      </c>
      <c r="I7" s="785">
        <v>0</v>
      </c>
      <c r="J7" s="443">
        <v>0</v>
      </c>
      <c r="K7" s="769">
        <v>0</v>
      </c>
      <c r="L7" s="771">
        <v>0</v>
      </c>
      <c r="M7" s="769">
        <v>0</v>
      </c>
      <c r="N7" s="769">
        <v>0</v>
      </c>
      <c r="O7" s="769">
        <v>0</v>
      </c>
    </row>
    <row r="8" spans="1:15" ht="18.75">
      <c r="A8" s="186" t="s">
        <v>277</v>
      </c>
      <c r="B8" s="826" t="s">
        <v>303</v>
      </c>
      <c r="C8" s="379">
        <v>11</v>
      </c>
      <c r="D8" s="380">
        <v>25</v>
      </c>
      <c r="E8" s="380">
        <v>32</v>
      </c>
      <c r="F8" s="380">
        <v>32</v>
      </c>
      <c r="G8" s="380">
        <v>28</v>
      </c>
      <c r="H8" s="438">
        <v>21</v>
      </c>
      <c r="I8" s="785">
        <v>0</v>
      </c>
      <c r="J8" s="769">
        <v>0</v>
      </c>
      <c r="K8" s="769">
        <v>0</v>
      </c>
      <c r="L8" s="771">
        <v>0</v>
      </c>
      <c r="M8" s="769">
        <v>0</v>
      </c>
      <c r="N8" s="769">
        <v>0</v>
      </c>
      <c r="O8" s="769">
        <v>0</v>
      </c>
    </row>
    <row r="9" spans="1:15" ht="18.75">
      <c r="A9" s="186" t="s">
        <v>279</v>
      </c>
      <c r="B9" s="826" t="s">
        <v>303</v>
      </c>
      <c r="C9" s="379">
        <v>0</v>
      </c>
      <c r="D9" s="380">
        <v>8</v>
      </c>
      <c r="E9" s="380">
        <v>5</v>
      </c>
      <c r="F9" s="380">
        <v>3</v>
      </c>
      <c r="G9" s="380">
        <v>11</v>
      </c>
      <c r="H9" s="438">
        <v>6</v>
      </c>
      <c r="I9" s="785">
        <v>0</v>
      </c>
      <c r="J9" s="769">
        <v>0</v>
      </c>
      <c r="K9" s="769">
        <v>0</v>
      </c>
      <c r="L9" s="771">
        <v>0</v>
      </c>
      <c r="M9" s="769">
        <v>0</v>
      </c>
      <c r="N9" s="769">
        <v>0</v>
      </c>
      <c r="O9" s="769">
        <v>0</v>
      </c>
    </row>
    <row r="10" spans="1:15" ht="18.75">
      <c r="A10" s="186" t="s">
        <v>110</v>
      </c>
      <c r="B10" s="826" t="s">
        <v>303</v>
      </c>
      <c r="C10" s="675">
        <v>38</v>
      </c>
      <c r="D10" s="676">
        <v>30</v>
      </c>
      <c r="E10" s="676">
        <v>61</v>
      </c>
      <c r="F10" s="676">
        <v>54</v>
      </c>
      <c r="G10" s="676">
        <v>57</v>
      </c>
      <c r="H10" s="677">
        <v>55</v>
      </c>
      <c r="I10" s="785">
        <v>0</v>
      </c>
      <c r="J10" s="769">
        <v>0</v>
      </c>
      <c r="K10" s="769">
        <v>0</v>
      </c>
      <c r="L10" s="771">
        <v>0</v>
      </c>
      <c r="M10" s="769">
        <v>0</v>
      </c>
      <c r="N10" s="769">
        <v>0</v>
      </c>
      <c r="O10" s="769">
        <v>0</v>
      </c>
    </row>
    <row r="11" spans="1:15" ht="18.75">
      <c r="A11" s="186" t="s">
        <v>111</v>
      </c>
      <c r="B11" s="826" t="s">
        <v>303</v>
      </c>
      <c r="C11" s="379">
        <v>8</v>
      </c>
      <c r="D11" s="380">
        <v>15</v>
      </c>
      <c r="E11" s="380">
        <v>28</v>
      </c>
      <c r="F11" s="380">
        <v>19</v>
      </c>
      <c r="G11" s="380">
        <v>16</v>
      </c>
      <c r="H11" s="438">
        <v>14</v>
      </c>
      <c r="I11" s="785">
        <v>0</v>
      </c>
      <c r="J11" s="769">
        <v>0</v>
      </c>
      <c r="K11" s="769">
        <v>0</v>
      </c>
      <c r="L11" s="771">
        <v>0</v>
      </c>
      <c r="M11" s="769">
        <v>0</v>
      </c>
      <c r="N11" s="769">
        <v>0</v>
      </c>
      <c r="O11" s="769">
        <v>0</v>
      </c>
    </row>
    <row r="12" spans="1:15" ht="18.75">
      <c r="A12" s="188" t="s">
        <v>112</v>
      </c>
      <c r="B12" s="826" t="s">
        <v>303</v>
      </c>
      <c r="C12" s="379">
        <v>45</v>
      </c>
      <c r="D12" s="380">
        <v>40</v>
      </c>
      <c r="E12" s="380">
        <v>51</v>
      </c>
      <c r="F12" s="380">
        <v>33</v>
      </c>
      <c r="G12" s="380">
        <v>50</v>
      </c>
      <c r="H12" s="438">
        <v>42</v>
      </c>
      <c r="I12" s="785"/>
      <c r="J12" s="769"/>
      <c r="K12" s="769"/>
      <c r="L12" s="771"/>
      <c r="M12" s="769"/>
      <c r="N12" s="769"/>
      <c r="O12" s="769"/>
    </row>
    <row r="13" spans="1:15" ht="18.75">
      <c r="A13" s="188" t="s">
        <v>280</v>
      </c>
      <c r="B13" s="826" t="s">
        <v>303</v>
      </c>
      <c r="C13" s="379">
        <v>0</v>
      </c>
      <c r="D13" s="380">
        <v>8</v>
      </c>
      <c r="E13" s="380">
        <v>10</v>
      </c>
      <c r="F13" s="380">
        <v>12</v>
      </c>
      <c r="G13" s="380">
        <v>11</v>
      </c>
      <c r="H13" s="438">
        <v>7</v>
      </c>
      <c r="I13" s="785"/>
      <c r="J13" s="769"/>
      <c r="K13" s="769"/>
      <c r="L13" s="771"/>
      <c r="M13" s="769"/>
      <c r="N13" s="769"/>
      <c r="O13" s="769"/>
    </row>
    <row r="14" spans="1:15" ht="18.75">
      <c r="A14" s="189" t="s">
        <v>113</v>
      </c>
      <c r="B14" s="826" t="s">
        <v>303</v>
      </c>
      <c r="C14" s="436">
        <v>0</v>
      </c>
      <c r="D14" s="436">
        <v>12</v>
      </c>
      <c r="E14" s="436">
        <v>12</v>
      </c>
      <c r="F14" s="679">
        <v>15</v>
      </c>
      <c r="G14" s="679">
        <v>10</v>
      </c>
      <c r="H14" s="680">
        <v>10</v>
      </c>
      <c r="I14" s="785">
        <v>0</v>
      </c>
      <c r="J14" s="769">
        <v>0</v>
      </c>
      <c r="K14" s="769">
        <v>0</v>
      </c>
      <c r="L14" s="771">
        <v>0</v>
      </c>
      <c r="M14" s="769">
        <v>0</v>
      </c>
      <c r="N14" s="769">
        <v>0</v>
      </c>
      <c r="O14" s="769">
        <v>0</v>
      </c>
    </row>
    <row r="15" spans="1:15" ht="18.75">
      <c r="A15" s="190" t="s">
        <v>278</v>
      </c>
      <c r="B15" s="826" t="s">
        <v>303</v>
      </c>
      <c r="C15" s="379">
        <v>0</v>
      </c>
      <c r="D15" s="682">
        <v>22</v>
      </c>
      <c r="E15" s="682">
        <v>29</v>
      </c>
      <c r="F15" s="683">
        <v>30</v>
      </c>
      <c r="G15" s="683">
        <v>25</v>
      </c>
      <c r="H15" s="684">
        <v>0</v>
      </c>
      <c r="I15" s="785"/>
      <c r="J15" s="769"/>
      <c r="K15" s="769"/>
      <c r="L15" s="771"/>
      <c r="M15" s="769"/>
      <c r="N15" s="769"/>
      <c r="O15" s="769"/>
    </row>
    <row r="16" spans="1:15" ht="19.5" thickBot="1">
      <c r="A16" s="191" t="s">
        <v>282</v>
      </c>
      <c r="B16" s="826" t="s">
        <v>303</v>
      </c>
      <c r="C16" s="686">
        <v>0</v>
      </c>
      <c r="D16" s="687">
        <v>16</v>
      </c>
      <c r="E16" s="687">
        <v>15</v>
      </c>
      <c r="F16" s="688">
        <v>16</v>
      </c>
      <c r="G16" s="688">
        <v>14</v>
      </c>
      <c r="H16" s="689">
        <v>11</v>
      </c>
      <c r="I16" s="786"/>
      <c r="J16" s="772"/>
      <c r="K16" s="772"/>
      <c r="L16" s="773"/>
      <c r="M16" s="769"/>
      <c r="N16" s="769"/>
      <c r="O16" s="769"/>
    </row>
    <row r="17" spans="1:15" ht="18.75" thickBot="1">
      <c r="A17" s="192" t="s">
        <v>268</v>
      </c>
      <c r="B17" s="827" t="s">
        <v>304</v>
      </c>
      <c r="C17" s="893"/>
      <c r="D17" s="894"/>
      <c r="E17" s="894"/>
      <c r="F17" s="894"/>
      <c r="G17" s="894"/>
      <c r="H17" s="894"/>
      <c r="I17" s="691">
        <v>439</v>
      </c>
      <c r="J17" s="692">
        <v>265</v>
      </c>
      <c r="K17" s="693">
        <v>217</v>
      </c>
      <c r="L17" s="511">
        <v>212</v>
      </c>
      <c r="M17" s="769">
        <v>0</v>
      </c>
      <c r="N17" s="769">
        <v>0</v>
      </c>
      <c r="O17" s="769">
        <v>0</v>
      </c>
    </row>
    <row r="18" spans="1:15" ht="18.75" thickBot="1">
      <c r="A18" s="193" t="s">
        <v>276</v>
      </c>
      <c r="B18" s="828" t="s">
        <v>305</v>
      </c>
      <c r="C18" s="899"/>
      <c r="D18" s="900"/>
      <c r="E18" s="900"/>
      <c r="F18" s="900"/>
      <c r="G18" s="900"/>
      <c r="H18" s="900"/>
      <c r="I18" s="900"/>
      <c r="J18" s="900"/>
      <c r="K18" s="900"/>
      <c r="L18" s="900"/>
      <c r="M18" s="695">
        <v>168</v>
      </c>
      <c r="N18" s="696">
        <v>83</v>
      </c>
      <c r="O18" s="697">
        <v>90</v>
      </c>
    </row>
    <row r="19" spans="1:15" ht="18.75" thickBot="1">
      <c r="A19" s="97" t="s">
        <v>23</v>
      </c>
      <c r="B19" s="97"/>
      <c r="C19" s="700">
        <f>C4+C5+C6+C7+C8+C9+C10+C11+C12+C13+C14+C15+C16</f>
        <v>180</v>
      </c>
      <c r="D19" s="701">
        <f>D4+D5+D6+D7+D8+D9+D10+D11+D12+D13+D14+D15+D16</f>
        <v>269</v>
      </c>
      <c r="E19" s="701">
        <f t="shared" ref="E19:H19" si="0">E4+E5+E6+E7+E8+E9+E10+E11+E12+E13+E14+E15+E16</f>
        <v>377</v>
      </c>
      <c r="F19" s="701">
        <f t="shared" si="0"/>
        <v>335</v>
      </c>
      <c r="G19" s="701">
        <f t="shared" si="0"/>
        <v>332</v>
      </c>
      <c r="H19" s="702">
        <f t="shared" si="0"/>
        <v>306</v>
      </c>
      <c r="I19" s="704">
        <f>I17</f>
        <v>439</v>
      </c>
      <c r="J19" s="704">
        <f t="shared" ref="J19:L19" si="1">J17</f>
        <v>265</v>
      </c>
      <c r="K19" s="704">
        <f t="shared" si="1"/>
        <v>217</v>
      </c>
      <c r="L19" s="704">
        <f t="shared" si="1"/>
        <v>212</v>
      </c>
      <c r="M19" s="705">
        <f>M18</f>
        <v>168</v>
      </c>
      <c r="N19" s="705">
        <f t="shared" ref="N19:O19" si="2">N18</f>
        <v>83</v>
      </c>
      <c r="O19" s="705">
        <f t="shared" si="2"/>
        <v>90</v>
      </c>
    </row>
  </sheetData>
  <mergeCells count="6">
    <mergeCell ref="C18:L18"/>
    <mergeCell ref="A1:A3"/>
    <mergeCell ref="C1:H2"/>
    <mergeCell ref="I1:L2"/>
    <mergeCell ref="M1:O2"/>
    <mergeCell ref="C17:H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40"/>
  <sheetViews>
    <sheetView topLeftCell="A22" workbookViewId="0">
      <selection activeCell="O39" sqref="O39"/>
    </sheetView>
  </sheetViews>
  <sheetFormatPr baseColWidth="10" defaultRowHeight="15"/>
  <cols>
    <col min="1" max="1" width="23.5703125" customWidth="1"/>
    <col min="2" max="2" width="11.42578125" style="12"/>
  </cols>
  <sheetData>
    <row r="1" spans="1:15" ht="15.75">
      <c r="A1" s="866" t="s">
        <v>3</v>
      </c>
      <c r="B1" s="201"/>
      <c r="C1" s="869" t="s">
        <v>6</v>
      </c>
      <c r="D1" s="870"/>
      <c r="E1" s="870"/>
      <c r="F1" s="870"/>
      <c r="G1" s="870"/>
      <c r="H1" s="870"/>
      <c r="I1" s="875" t="s">
        <v>7</v>
      </c>
      <c r="J1" s="876"/>
      <c r="K1" s="876"/>
      <c r="L1" s="876"/>
      <c r="M1" s="881" t="s">
        <v>8</v>
      </c>
      <c r="N1" s="882"/>
      <c r="O1" s="882"/>
    </row>
    <row r="2" spans="1:15" ht="16.5" thickBot="1">
      <c r="A2" s="867"/>
      <c r="B2" s="815"/>
      <c r="C2" s="872"/>
      <c r="D2" s="873"/>
      <c r="E2" s="873"/>
      <c r="F2" s="873"/>
      <c r="G2" s="873"/>
      <c r="H2" s="873"/>
      <c r="I2" s="878"/>
      <c r="J2" s="879"/>
      <c r="K2" s="879"/>
      <c r="L2" s="879"/>
      <c r="M2" s="884"/>
      <c r="N2" s="885"/>
      <c r="O2" s="885"/>
    </row>
    <row r="3" spans="1:15" ht="16.5" thickBot="1">
      <c r="A3" s="868"/>
      <c r="B3" s="774"/>
      <c r="C3" s="196" t="s">
        <v>10</v>
      </c>
      <c r="D3" s="197" t="s">
        <v>11</v>
      </c>
      <c r="E3" s="197" t="s">
        <v>12</v>
      </c>
      <c r="F3" s="197" t="s">
        <v>13</v>
      </c>
      <c r="G3" s="197" t="s">
        <v>14</v>
      </c>
      <c r="H3" s="198" t="s">
        <v>15</v>
      </c>
      <c r="I3" s="199" t="s">
        <v>11</v>
      </c>
      <c r="J3" s="776" t="s">
        <v>12</v>
      </c>
      <c r="K3" s="776" t="s">
        <v>13</v>
      </c>
      <c r="L3" s="201" t="s">
        <v>14</v>
      </c>
      <c r="M3" s="199" t="s">
        <v>11</v>
      </c>
      <c r="N3" s="201" t="s">
        <v>12</v>
      </c>
      <c r="O3" s="776" t="s">
        <v>13</v>
      </c>
    </row>
    <row r="4" spans="1:15" ht="19.5" thickBot="1">
      <c r="A4" s="70" t="s">
        <v>115</v>
      </c>
      <c r="B4" s="144" t="s">
        <v>303</v>
      </c>
      <c r="C4" s="376">
        <v>120</v>
      </c>
      <c r="D4" s="424">
        <v>108</v>
      </c>
      <c r="E4" s="424">
        <v>134</v>
      </c>
      <c r="F4" s="424">
        <v>164</v>
      </c>
      <c r="G4" s="424">
        <v>135</v>
      </c>
      <c r="H4" s="425">
        <v>110</v>
      </c>
      <c r="I4" s="784">
        <v>0</v>
      </c>
      <c r="J4" s="768">
        <v>0</v>
      </c>
      <c r="K4" s="768">
        <v>0</v>
      </c>
      <c r="L4" s="768">
        <v>0</v>
      </c>
      <c r="M4" s="768">
        <v>0</v>
      </c>
      <c r="N4" s="768">
        <v>0</v>
      </c>
      <c r="O4" s="768">
        <v>0</v>
      </c>
    </row>
    <row r="5" spans="1:15" ht="19.5" thickBot="1">
      <c r="A5" s="77" t="s">
        <v>116</v>
      </c>
      <c r="B5" s="144" t="s">
        <v>303</v>
      </c>
      <c r="C5" s="431">
        <v>49</v>
      </c>
      <c r="D5" s="361">
        <v>56</v>
      </c>
      <c r="E5" s="361">
        <v>59</v>
      </c>
      <c r="F5" s="361">
        <v>41</v>
      </c>
      <c r="G5" s="361">
        <v>59</v>
      </c>
      <c r="H5" s="432">
        <v>49</v>
      </c>
      <c r="I5" s="785">
        <v>0</v>
      </c>
      <c r="J5" s="769">
        <v>0</v>
      </c>
      <c r="K5" s="769">
        <v>0</v>
      </c>
      <c r="L5" s="769">
        <v>0</v>
      </c>
      <c r="M5" s="769">
        <v>0</v>
      </c>
      <c r="N5" s="769">
        <v>0</v>
      </c>
      <c r="O5" s="769">
        <v>0</v>
      </c>
    </row>
    <row r="6" spans="1:15" ht="19.5" thickBot="1">
      <c r="A6" s="77" t="s">
        <v>117</v>
      </c>
      <c r="B6" s="144" t="s">
        <v>303</v>
      </c>
      <c r="C6" s="431">
        <v>65</v>
      </c>
      <c r="D6" s="361">
        <v>69</v>
      </c>
      <c r="E6" s="361">
        <v>89</v>
      </c>
      <c r="F6" s="361">
        <v>72</v>
      </c>
      <c r="G6" s="361">
        <v>66</v>
      </c>
      <c r="H6" s="432">
        <v>63</v>
      </c>
      <c r="I6" s="785">
        <v>0</v>
      </c>
      <c r="J6" s="769">
        <v>0</v>
      </c>
      <c r="K6" s="769">
        <v>0</v>
      </c>
      <c r="L6" s="769">
        <v>0</v>
      </c>
      <c r="M6" s="769">
        <v>0</v>
      </c>
      <c r="N6" s="769">
        <v>0</v>
      </c>
      <c r="O6" s="769">
        <v>0</v>
      </c>
    </row>
    <row r="7" spans="1:15" ht="19.5" thickBot="1">
      <c r="A7" s="77" t="s">
        <v>118</v>
      </c>
      <c r="B7" s="144" t="s">
        <v>303</v>
      </c>
      <c r="C7" s="431">
        <v>70</v>
      </c>
      <c r="D7" s="361">
        <v>73</v>
      </c>
      <c r="E7" s="361">
        <v>88</v>
      </c>
      <c r="F7" s="361">
        <v>88</v>
      </c>
      <c r="G7" s="361">
        <v>59</v>
      </c>
      <c r="H7" s="432">
        <v>62</v>
      </c>
      <c r="I7" s="785">
        <v>0</v>
      </c>
      <c r="J7" s="769">
        <v>0</v>
      </c>
      <c r="K7" s="769">
        <v>0</v>
      </c>
      <c r="L7" s="769">
        <v>0</v>
      </c>
      <c r="M7" s="769">
        <v>0</v>
      </c>
      <c r="N7" s="769">
        <v>0</v>
      </c>
      <c r="O7" s="769">
        <v>0</v>
      </c>
    </row>
    <row r="8" spans="1:15" ht="19.5" thickBot="1">
      <c r="A8" s="77" t="s">
        <v>119</v>
      </c>
      <c r="B8" s="144" t="s">
        <v>303</v>
      </c>
      <c r="C8" s="431">
        <v>57</v>
      </c>
      <c r="D8" s="361">
        <v>67</v>
      </c>
      <c r="E8" s="361">
        <v>66</v>
      </c>
      <c r="F8" s="361">
        <v>93</v>
      </c>
      <c r="G8" s="361">
        <v>60</v>
      </c>
      <c r="H8" s="432">
        <v>62</v>
      </c>
      <c r="I8" s="785">
        <v>0</v>
      </c>
      <c r="J8" s="769">
        <v>0</v>
      </c>
      <c r="K8" s="769">
        <v>0</v>
      </c>
      <c r="L8" s="769">
        <v>0</v>
      </c>
      <c r="M8" s="769">
        <v>0</v>
      </c>
      <c r="N8" s="769">
        <v>0</v>
      </c>
      <c r="O8" s="769">
        <v>0</v>
      </c>
    </row>
    <row r="9" spans="1:15" ht="19.5" thickBot="1">
      <c r="A9" s="77" t="s">
        <v>120</v>
      </c>
      <c r="B9" s="144" t="s">
        <v>303</v>
      </c>
      <c r="C9" s="431">
        <v>41</v>
      </c>
      <c r="D9" s="361">
        <v>31</v>
      </c>
      <c r="E9" s="361">
        <v>39</v>
      </c>
      <c r="F9" s="361">
        <v>25</v>
      </c>
      <c r="G9" s="361">
        <v>24</v>
      </c>
      <c r="H9" s="432">
        <v>23</v>
      </c>
      <c r="I9" s="785">
        <v>0</v>
      </c>
      <c r="J9" s="769">
        <v>0</v>
      </c>
      <c r="K9" s="769">
        <v>0</v>
      </c>
      <c r="L9" s="769">
        <v>0</v>
      </c>
      <c r="M9" s="769">
        <v>0</v>
      </c>
      <c r="N9" s="769">
        <v>0</v>
      </c>
      <c r="O9" s="769">
        <v>0</v>
      </c>
    </row>
    <row r="10" spans="1:15" ht="19.5" thickBot="1">
      <c r="A10" s="77" t="s">
        <v>231</v>
      </c>
      <c r="B10" s="144" t="s">
        <v>303</v>
      </c>
      <c r="C10" s="431">
        <v>26</v>
      </c>
      <c r="D10" s="361">
        <v>37</v>
      </c>
      <c r="E10" s="361">
        <v>52</v>
      </c>
      <c r="F10" s="361">
        <v>41</v>
      </c>
      <c r="G10" s="361">
        <v>40</v>
      </c>
      <c r="H10" s="432">
        <v>29</v>
      </c>
      <c r="I10" s="785">
        <v>0</v>
      </c>
      <c r="J10" s="769">
        <v>0</v>
      </c>
      <c r="K10" s="769">
        <v>0</v>
      </c>
      <c r="L10" s="769">
        <v>0</v>
      </c>
      <c r="M10" s="769">
        <v>0</v>
      </c>
      <c r="N10" s="769">
        <v>0</v>
      </c>
      <c r="O10" s="769">
        <v>0</v>
      </c>
    </row>
    <row r="11" spans="1:15" ht="19.5" thickBot="1">
      <c r="A11" s="77" t="s">
        <v>121</v>
      </c>
      <c r="B11" s="144" t="s">
        <v>303</v>
      </c>
      <c r="C11" s="431">
        <v>41</v>
      </c>
      <c r="D11" s="361">
        <v>71</v>
      </c>
      <c r="E11" s="361">
        <v>71</v>
      </c>
      <c r="F11" s="361">
        <v>59</v>
      </c>
      <c r="G11" s="361">
        <v>66</v>
      </c>
      <c r="H11" s="432">
        <v>54</v>
      </c>
      <c r="I11" s="785">
        <v>0</v>
      </c>
      <c r="J11" s="769">
        <v>0</v>
      </c>
      <c r="K11" s="769">
        <v>0</v>
      </c>
      <c r="L11" s="769">
        <v>0</v>
      </c>
      <c r="M11" s="769">
        <v>0</v>
      </c>
      <c r="N11" s="769">
        <v>0</v>
      </c>
      <c r="O11" s="769">
        <v>0</v>
      </c>
    </row>
    <row r="12" spans="1:15" ht="19.5" thickBot="1">
      <c r="A12" s="77" t="s">
        <v>122</v>
      </c>
      <c r="B12" s="144" t="s">
        <v>303</v>
      </c>
      <c r="C12" s="431">
        <v>50</v>
      </c>
      <c r="D12" s="361">
        <v>72</v>
      </c>
      <c r="E12" s="361">
        <v>91</v>
      </c>
      <c r="F12" s="361">
        <v>72</v>
      </c>
      <c r="G12" s="361">
        <v>84</v>
      </c>
      <c r="H12" s="432">
        <v>65</v>
      </c>
      <c r="I12" s="785">
        <v>0</v>
      </c>
      <c r="J12" s="769">
        <v>0</v>
      </c>
      <c r="K12" s="769">
        <v>0</v>
      </c>
      <c r="L12" s="769">
        <v>0</v>
      </c>
      <c r="M12" s="769">
        <v>0</v>
      </c>
      <c r="N12" s="769">
        <v>0</v>
      </c>
      <c r="O12" s="769">
        <v>0</v>
      </c>
    </row>
    <row r="13" spans="1:15" ht="19.5" thickBot="1">
      <c r="A13" s="77" t="s">
        <v>123</v>
      </c>
      <c r="B13" s="144" t="s">
        <v>303</v>
      </c>
      <c r="C13" s="431">
        <v>50</v>
      </c>
      <c r="D13" s="361">
        <v>66</v>
      </c>
      <c r="E13" s="361">
        <v>72</v>
      </c>
      <c r="F13" s="361">
        <v>72</v>
      </c>
      <c r="G13" s="361">
        <v>81</v>
      </c>
      <c r="H13" s="432">
        <v>77</v>
      </c>
      <c r="I13" s="785">
        <v>0</v>
      </c>
      <c r="J13" s="769">
        <v>0</v>
      </c>
      <c r="K13" s="769">
        <v>0</v>
      </c>
      <c r="L13" s="769">
        <v>0</v>
      </c>
      <c r="M13" s="769">
        <v>0</v>
      </c>
      <c r="N13" s="769">
        <v>0</v>
      </c>
      <c r="O13" s="769">
        <v>0</v>
      </c>
    </row>
    <row r="14" spans="1:15" ht="19.5" thickBot="1">
      <c r="A14" s="77" t="s">
        <v>124</v>
      </c>
      <c r="B14" s="144" t="s">
        <v>303</v>
      </c>
      <c r="C14" s="431">
        <v>18</v>
      </c>
      <c r="D14" s="361">
        <v>23</v>
      </c>
      <c r="E14" s="361">
        <v>15</v>
      </c>
      <c r="F14" s="361">
        <v>18</v>
      </c>
      <c r="G14" s="361">
        <v>24</v>
      </c>
      <c r="H14" s="432">
        <v>18</v>
      </c>
      <c r="I14" s="785">
        <v>0</v>
      </c>
      <c r="J14" s="769">
        <v>0</v>
      </c>
      <c r="K14" s="769">
        <v>0</v>
      </c>
      <c r="L14" s="769">
        <v>0</v>
      </c>
      <c r="M14" s="769">
        <v>0</v>
      </c>
      <c r="N14" s="769">
        <v>0</v>
      </c>
      <c r="O14" s="769">
        <v>0</v>
      </c>
    </row>
    <row r="15" spans="1:15" ht="19.5" thickBot="1">
      <c r="A15" s="77" t="s">
        <v>125</v>
      </c>
      <c r="B15" s="144" t="s">
        <v>303</v>
      </c>
      <c r="C15" s="436">
        <v>0</v>
      </c>
      <c r="D15" s="365">
        <v>21</v>
      </c>
      <c r="E15" s="365">
        <v>37</v>
      </c>
      <c r="F15" s="365">
        <v>25</v>
      </c>
      <c r="G15" s="361">
        <v>17</v>
      </c>
      <c r="H15" s="437">
        <v>12</v>
      </c>
      <c r="I15" s="785">
        <v>0</v>
      </c>
      <c r="J15" s="769">
        <v>0</v>
      </c>
      <c r="K15" s="769">
        <v>0</v>
      </c>
      <c r="L15" s="769">
        <v>0</v>
      </c>
      <c r="M15" s="769">
        <v>0</v>
      </c>
      <c r="N15" s="769">
        <v>0</v>
      </c>
      <c r="O15" s="769">
        <v>0</v>
      </c>
    </row>
    <row r="16" spans="1:15" ht="19.5" thickBot="1">
      <c r="A16" s="77" t="s">
        <v>126</v>
      </c>
      <c r="B16" s="144" t="s">
        <v>303</v>
      </c>
      <c r="C16" s="379">
        <v>0</v>
      </c>
      <c r="D16" s="380">
        <v>8</v>
      </c>
      <c r="E16" s="380">
        <v>7</v>
      </c>
      <c r="F16" s="380">
        <v>7</v>
      </c>
      <c r="G16" s="361">
        <v>8</v>
      </c>
      <c r="H16" s="438">
        <v>6</v>
      </c>
      <c r="I16" s="785">
        <v>0</v>
      </c>
      <c r="J16" s="769">
        <v>0</v>
      </c>
      <c r="K16" s="769">
        <v>0</v>
      </c>
      <c r="L16" s="769">
        <v>0</v>
      </c>
      <c r="M16" s="769">
        <v>0</v>
      </c>
      <c r="N16" s="769">
        <v>0</v>
      </c>
      <c r="O16" s="769">
        <v>0</v>
      </c>
    </row>
    <row r="17" spans="1:15" ht="19.5" thickBot="1">
      <c r="A17" s="77" t="s">
        <v>127</v>
      </c>
      <c r="B17" s="144" t="s">
        <v>303</v>
      </c>
      <c r="C17" s="379">
        <v>0</v>
      </c>
      <c r="D17" s="380">
        <v>5</v>
      </c>
      <c r="E17" s="380">
        <v>4</v>
      </c>
      <c r="F17" s="380">
        <v>9</v>
      </c>
      <c r="G17" s="361">
        <v>7</v>
      </c>
      <c r="H17" s="438">
        <v>8</v>
      </c>
      <c r="I17" s="785">
        <v>0</v>
      </c>
      <c r="J17" s="769">
        <v>0</v>
      </c>
      <c r="K17" s="769">
        <v>0</v>
      </c>
      <c r="L17" s="769">
        <v>0</v>
      </c>
      <c r="M17" s="769">
        <v>0</v>
      </c>
      <c r="N17" s="769">
        <v>0</v>
      </c>
      <c r="O17" s="769">
        <v>0</v>
      </c>
    </row>
    <row r="18" spans="1:15" ht="19.5" thickBot="1">
      <c r="A18" s="77" t="s">
        <v>255</v>
      </c>
      <c r="B18" s="144" t="s">
        <v>303</v>
      </c>
      <c r="C18" s="379">
        <v>9</v>
      </c>
      <c r="D18" s="380">
        <v>24</v>
      </c>
      <c r="E18" s="380">
        <v>14</v>
      </c>
      <c r="F18" s="380">
        <v>26</v>
      </c>
      <c r="G18" s="361">
        <v>21</v>
      </c>
      <c r="H18" s="438">
        <v>20</v>
      </c>
      <c r="I18" s="785">
        <v>0</v>
      </c>
      <c r="J18" s="769">
        <v>0</v>
      </c>
      <c r="K18" s="769">
        <v>0</v>
      </c>
      <c r="L18" s="769">
        <v>0</v>
      </c>
      <c r="M18" s="769">
        <v>0</v>
      </c>
      <c r="N18" s="769">
        <v>0</v>
      </c>
      <c r="O18" s="769">
        <v>0</v>
      </c>
    </row>
    <row r="19" spans="1:15" ht="19.5" thickBot="1">
      <c r="A19" s="77" t="s">
        <v>128</v>
      </c>
      <c r="B19" s="144" t="s">
        <v>303</v>
      </c>
      <c r="C19" s="379">
        <v>0</v>
      </c>
      <c r="D19" s="380">
        <v>6</v>
      </c>
      <c r="E19" s="380">
        <v>7</v>
      </c>
      <c r="F19" s="380">
        <v>3</v>
      </c>
      <c r="G19" s="361">
        <v>7</v>
      </c>
      <c r="H19" s="438">
        <v>6</v>
      </c>
      <c r="I19" s="785">
        <v>0</v>
      </c>
      <c r="J19" s="769">
        <v>0</v>
      </c>
      <c r="K19" s="769">
        <v>0</v>
      </c>
      <c r="L19" s="769">
        <v>0</v>
      </c>
      <c r="M19" s="769">
        <v>0</v>
      </c>
      <c r="N19" s="769">
        <v>0</v>
      </c>
      <c r="O19" s="769">
        <v>0</v>
      </c>
    </row>
    <row r="20" spans="1:15" ht="19.5" thickBot="1">
      <c r="A20" s="77" t="s">
        <v>129</v>
      </c>
      <c r="B20" s="144" t="s">
        <v>303</v>
      </c>
      <c r="C20" s="379">
        <v>86</v>
      </c>
      <c r="D20" s="380">
        <v>108</v>
      </c>
      <c r="E20" s="380">
        <v>156</v>
      </c>
      <c r="F20" s="380">
        <v>119</v>
      </c>
      <c r="G20" s="361">
        <v>109</v>
      </c>
      <c r="H20" s="438">
        <v>67</v>
      </c>
      <c r="I20" s="769"/>
      <c r="J20" s="769"/>
      <c r="K20" s="769"/>
      <c r="L20" s="769"/>
      <c r="M20" s="769"/>
      <c r="N20" s="769"/>
      <c r="O20" s="769"/>
    </row>
    <row r="21" spans="1:15" ht="19.5" thickBot="1">
      <c r="A21" s="77" t="s">
        <v>130</v>
      </c>
      <c r="B21" s="144" t="s">
        <v>303</v>
      </c>
      <c r="C21" s="379">
        <v>22</v>
      </c>
      <c r="D21" s="380">
        <v>53</v>
      </c>
      <c r="E21" s="380">
        <v>52</v>
      </c>
      <c r="F21" s="380">
        <v>51</v>
      </c>
      <c r="G21" s="361">
        <v>59</v>
      </c>
      <c r="H21" s="438">
        <v>46</v>
      </c>
      <c r="I21" s="769"/>
      <c r="J21" s="769"/>
      <c r="K21" s="769"/>
      <c r="L21" s="769"/>
      <c r="M21" s="769"/>
      <c r="N21" s="769"/>
      <c r="O21" s="769"/>
    </row>
    <row r="22" spans="1:15" ht="19.5" thickBot="1">
      <c r="A22" s="77" t="s">
        <v>131</v>
      </c>
      <c r="B22" s="144" t="s">
        <v>303</v>
      </c>
      <c r="C22" s="379">
        <v>0</v>
      </c>
      <c r="D22" s="380">
        <v>16</v>
      </c>
      <c r="E22" s="380">
        <v>17</v>
      </c>
      <c r="F22" s="380">
        <v>25</v>
      </c>
      <c r="G22" s="361">
        <v>23</v>
      </c>
      <c r="H22" s="438">
        <v>13</v>
      </c>
      <c r="I22" s="769"/>
      <c r="J22" s="769"/>
      <c r="K22" s="769"/>
      <c r="L22" s="769"/>
      <c r="M22" s="769"/>
      <c r="N22" s="769"/>
      <c r="O22" s="769"/>
    </row>
    <row r="23" spans="1:15" ht="19.5" thickBot="1">
      <c r="A23" s="77" t="s">
        <v>251</v>
      </c>
      <c r="B23" s="144" t="s">
        <v>303</v>
      </c>
      <c r="C23" s="379">
        <v>0</v>
      </c>
      <c r="D23" s="380">
        <v>3</v>
      </c>
      <c r="E23" s="380">
        <v>6</v>
      </c>
      <c r="F23" s="380">
        <v>3</v>
      </c>
      <c r="G23" s="361">
        <v>3</v>
      </c>
      <c r="H23" s="438">
        <v>0</v>
      </c>
      <c r="I23" s="769"/>
      <c r="J23" s="769"/>
      <c r="K23" s="769"/>
      <c r="L23" s="769"/>
      <c r="M23" s="769"/>
      <c r="N23" s="769"/>
      <c r="O23" s="769"/>
    </row>
    <row r="24" spans="1:15" ht="19.5" thickBot="1">
      <c r="A24" s="77" t="s">
        <v>132</v>
      </c>
      <c r="B24" s="144" t="s">
        <v>303</v>
      </c>
      <c r="C24" s="379">
        <v>0</v>
      </c>
      <c r="D24" s="380">
        <v>4</v>
      </c>
      <c r="E24" s="380">
        <v>6</v>
      </c>
      <c r="F24" s="380">
        <v>3</v>
      </c>
      <c r="G24" s="361">
        <v>1</v>
      </c>
      <c r="H24" s="438">
        <v>4</v>
      </c>
      <c r="I24" s="769"/>
      <c r="J24" s="769"/>
      <c r="K24" s="769"/>
      <c r="L24" s="769"/>
      <c r="M24" s="769"/>
      <c r="N24" s="769"/>
      <c r="O24" s="769"/>
    </row>
    <row r="25" spans="1:15" ht="19.5" thickBot="1">
      <c r="A25" s="77" t="s">
        <v>247</v>
      </c>
      <c r="B25" s="144" t="s">
        <v>303</v>
      </c>
      <c r="C25" s="379">
        <v>0</v>
      </c>
      <c r="D25" s="380">
        <v>4</v>
      </c>
      <c r="E25" s="380">
        <v>7</v>
      </c>
      <c r="F25" s="380">
        <v>8</v>
      </c>
      <c r="G25" s="361">
        <v>9</v>
      </c>
      <c r="H25" s="438">
        <v>4</v>
      </c>
      <c r="I25" s="769"/>
      <c r="J25" s="769"/>
      <c r="K25" s="769"/>
      <c r="L25" s="769"/>
      <c r="M25" s="769"/>
      <c r="N25" s="769"/>
      <c r="O25" s="769"/>
    </row>
    <row r="26" spans="1:15" ht="19.5" thickBot="1">
      <c r="A26" s="77" t="s">
        <v>248</v>
      </c>
      <c r="B26" s="144" t="s">
        <v>303</v>
      </c>
      <c r="C26" s="379">
        <v>32</v>
      </c>
      <c r="D26" s="380">
        <v>35</v>
      </c>
      <c r="E26" s="380">
        <v>44</v>
      </c>
      <c r="F26" s="380">
        <v>44</v>
      </c>
      <c r="G26" s="361">
        <v>33</v>
      </c>
      <c r="H26" s="438">
        <v>48</v>
      </c>
      <c r="I26" s="769"/>
      <c r="J26" s="769"/>
      <c r="K26" s="769"/>
      <c r="L26" s="769"/>
      <c r="M26" s="769"/>
      <c r="N26" s="769"/>
      <c r="O26" s="769"/>
    </row>
    <row r="27" spans="1:15" ht="19.5" thickBot="1">
      <c r="A27" s="77" t="s">
        <v>235</v>
      </c>
      <c r="B27" s="144" t="s">
        <v>303</v>
      </c>
      <c r="C27" s="379">
        <v>0</v>
      </c>
      <c r="D27" s="380">
        <v>5</v>
      </c>
      <c r="E27" s="380">
        <v>0</v>
      </c>
      <c r="F27" s="380">
        <v>3</v>
      </c>
      <c r="G27" s="361">
        <v>2</v>
      </c>
      <c r="H27" s="438">
        <v>1</v>
      </c>
      <c r="I27" s="769"/>
      <c r="J27" s="769"/>
      <c r="K27" s="769"/>
      <c r="L27" s="769"/>
      <c r="M27" s="769"/>
      <c r="N27" s="769"/>
      <c r="O27" s="769"/>
    </row>
    <row r="28" spans="1:15" ht="19.5" thickBot="1">
      <c r="A28" s="77" t="s">
        <v>236</v>
      </c>
      <c r="B28" s="144" t="s">
        <v>303</v>
      </c>
      <c r="C28" s="379">
        <v>0</v>
      </c>
      <c r="D28" s="380">
        <v>1</v>
      </c>
      <c r="E28" s="380">
        <v>5</v>
      </c>
      <c r="F28" s="380">
        <v>0</v>
      </c>
      <c r="G28" s="361">
        <v>0</v>
      </c>
      <c r="H28" s="438">
        <v>0</v>
      </c>
      <c r="I28" s="769"/>
      <c r="J28" s="769"/>
      <c r="K28" s="769"/>
      <c r="L28" s="769"/>
      <c r="M28" s="769"/>
      <c r="N28" s="769"/>
      <c r="O28" s="769"/>
    </row>
    <row r="29" spans="1:15" ht="19.5" thickBot="1">
      <c r="A29" s="77" t="s">
        <v>256</v>
      </c>
      <c r="B29" s="144" t="s">
        <v>303</v>
      </c>
      <c r="C29" s="379">
        <v>0</v>
      </c>
      <c r="D29" s="380">
        <v>3</v>
      </c>
      <c r="E29" s="380">
        <v>4</v>
      </c>
      <c r="F29" s="380">
        <v>2</v>
      </c>
      <c r="G29" s="361">
        <v>3</v>
      </c>
      <c r="H29" s="438">
        <v>5</v>
      </c>
      <c r="I29" s="769"/>
      <c r="J29" s="769"/>
      <c r="K29" s="769"/>
      <c r="L29" s="769"/>
      <c r="M29" s="769"/>
      <c r="N29" s="769"/>
      <c r="O29" s="769"/>
    </row>
    <row r="30" spans="1:15" ht="19.5" thickBot="1">
      <c r="A30" s="95" t="s">
        <v>257</v>
      </c>
      <c r="B30" s="144" t="s">
        <v>303</v>
      </c>
      <c r="C30" s="439">
        <v>50</v>
      </c>
      <c r="D30" s="440">
        <v>67</v>
      </c>
      <c r="E30" s="440">
        <v>92</v>
      </c>
      <c r="F30" s="440">
        <v>94</v>
      </c>
      <c r="G30" s="441">
        <v>73</v>
      </c>
      <c r="H30" s="442">
        <v>67</v>
      </c>
      <c r="I30" s="769"/>
      <c r="J30" s="769"/>
      <c r="K30" s="769"/>
      <c r="L30" s="769"/>
      <c r="M30" s="769"/>
      <c r="N30" s="769" t="s">
        <v>254</v>
      </c>
      <c r="O30" s="769"/>
    </row>
    <row r="31" spans="1:15" ht="18.75">
      <c r="A31" s="171" t="s">
        <v>133</v>
      </c>
      <c r="B31" s="821" t="s">
        <v>304</v>
      </c>
      <c r="C31" s="785">
        <v>0</v>
      </c>
      <c r="D31" s="769">
        <v>0</v>
      </c>
      <c r="E31" s="769">
        <v>0</v>
      </c>
      <c r="F31" s="769">
        <v>0</v>
      </c>
      <c r="G31" s="769">
        <v>0</v>
      </c>
      <c r="H31" s="443">
        <v>0</v>
      </c>
      <c r="I31" s="445">
        <v>228</v>
      </c>
      <c r="J31" s="446">
        <v>176</v>
      </c>
      <c r="K31" s="446">
        <v>115</v>
      </c>
      <c r="L31" s="447">
        <v>162</v>
      </c>
      <c r="M31" s="769">
        <v>0</v>
      </c>
      <c r="N31" s="769">
        <v>0</v>
      </c>
      <c r="O31" s="769">
        <v>0</v>
      </c>
    </row>
    <row r="32" spans="1:15" ht="18.75">
      <c r="A32" s="173" t="s">
        <v>134</v>
      </c>
      <c r="B32" s="821" t="s">
        <v>304</v>
      </c>
      <c r="C32" s="785">
        <v>0</v>
      </c>
      <c r="D32" s="769">
        <v>0</v>
      </c>
      <c r="E32" s="769">
        <v>0</v>
      </c>
      <c r="F32" s="769">
        <v>0</v>
      </c>
      <c r="G32" s="769">
        <v>0</v>
      </c>
      <c r="H32" s="443"/>
      <c r="I32" s="449">
        <v>318</v>
      </c>
      <c r="J32" s="450">
        <v>243</v>
      </c>
      <c r="K32" s="450">
        <v>158</v>
      </c>
      <c r="L32" s="451">
        <v>174</v>
      </c>
      <c r="M32" s="769">
        <v>0</v>
      </c>
      <c r="N32" s="769">
        <v>0</v>
      </c>
      <c r="O32" s="769">
        <v>0</v>
      </c>
    </row>
    <row r="33" spans="1:15" ht="18.75">
      <c r="A33" s="173" t="s">
        <v>135</v>
      </c>
      <c r="B33" s="821" t="s">
        <v>304</v>
      </c>
      <c r="C33" s="785">
        <v>0</v>
      </c>
      <c r="D33" s="769">
        <v>0</v>
      </c>
      <c r="E33" s="769">
        <v>0</v>
      </c>
      <c r="F33" s="769">
        <v>0</v>
      </c>
      <c r="G33" s="769">
        <v>0</v>
      </c>
      <c r="H33" s="443"/>
      <c r="I33" s="449">
        <v>140</v>
      </c>
      <c r="J33" s="450">
        <v>110</v>
      </c>
      <c r="K33" s="450">
        <v>123</v>
      </c>
      <c r="L33" s="451">
        <v>118</v>
      </c>
      <c r="M33" s="769">
        <v>0</v>
      </c>
      <c r="N33" s="769">
        <v>0</v>
      </c>
      <c r="O33" s="769">
        <v>0</v>
      </c>
    </row>
    <row r="34" spans="1:15" ht="18.75">
      <c r="A34" s="173" t="s">
        <v>136</v>
      </c>
      <c r="B34" s="821" t="s">
        <v>304</v>
      </c>
      <c r="C34" s="785">
        <v>0</v>
      </c>
      <c r="D34" s="769">
        <v>0</v>
      </c>
      <c r="E34" s="769"/>
      <c r="F34" s="769">
        <v>0</v>
      </c>
      <c r="G34" s="769">
        <v>0</v>
      </c>
      <c r="H34" s="443"/>
      <c r="I34" s="449">
        <v>247</v>
      </c>
      <c r="J34" s="450">
        <v>123</v>
      </c>
      <c r="K34" s="450">
        <v>96</v>
      </c>
      <c r="L34" s="451">
        <v>115</v>
      </c>
      <c r="M34" s="769">
        <v>0</v>
      </c>
      <c r="N34" s="769">
        <v>0</v>
      </c>
      <c r="O34" s="769">
        <v>0</v>
      </c>
    </row>
    <row r="35" spans="1:15" ht="18.75">
      <c r="A35" s="173" t="s">
        <v>258</v>
      </c>
      <c r="B35" s="821" t="s">
        <v>304</v>
      </c>
      <c r="C35" s="785"/>
      <c r="D35" s="769"/>
      <c r="E35" s="769"/>
      <c r="F35" s="769"/>
      <c r="G35" s="769"/>
      <c r="H35" s="443"/>
      <c r="I35" s="452">
        <v>154</v>
      </c>
      <c r="J35" s="453">
        <v>120</v>
      </c>
      <c r="K35" s="453">
        <v>62</v>
      </c>
      <c r="L35" s="454">
        <v>82</v>
      </c>
      <c r="M35" s="455"/>
      <c r="N35" s="455"/>
      <c r="O35" s="455"/>
    </row>
    <row r="36" spans="1:15" ht="19.5" thickBot="1">
      <c r="A36" s="173" t="s">
        <v>259</v>
      </c>
      <c r="B36" s="821" t="s">
        <v>304</v>
      </c>
      <c r="C36" s="785"/>
      <c r="D36" s="769"/>
      <c r="E36" s="769"/>
      <c r="F36" s="769"/>
      <c r="G36" s="769"/>
      <c r="H36" s="443"/>
      <c r="I36" s="450">
        <v>160</v>
      </c>
      <c r="J36" s="450">
        <v>105</v>
      </c>
      <c r="K36" s="450">
        <v>94</v>
      </c>
      <c r="L36" s="450">
        <v>60</v>
      </c>
      <c r="M36" s="455"/>
      <c r="N36" s="455"/>
      <c r="O36" s="455"/>
    </row>
    <row r="37" spans="1:15" ht="18.75">
      <c r="A37" s="174" t="s">
        <v>137</v>
      </c>
      <c r="B37" s="822" t="s">
        <v>305</v>
      </c>
      <c r="C37" s="457">
        <v>0</v>
      </c>
      <c r="D37" s="443"/>
      <c r="E37" s="443"/>
      <c r="F37" s="443"/>
      <c r="G37" s="443"/>
      <c r="H37" s="443"/>
      <c r="I37" s="443">
        <v>160</v>
      </c>
      <c r="J37" s="443"/>
      <c r="K37" s="443"/>
      <c r="L37" s="443"/>
      <c r="M37" s="460">
        <v>161</v>
      </c>
      <c r="N37" s="461">
        <v>122</v>
      </c>
      <c r="O37" s="462">
        <v>144</v>
      </c>
    </row>
    <row r="38" spans="1:15" ht="18.75">
      <c r="A38" s="174" t="s">
        <v>138</v>
      </c>
      <c r="B38" s="822" t="s">
        <v>305</v>
      </c>
      <c r="C38" s="457"/>
      <c r="D38" s="443"/>
      <c r="E38" s="443"/>
      <c r="F38" s="443"/>
      <c r="G38" s="443"/>
      <c r="H38" s="443"/>
      <c r="I38" s="443"/>
      <c r="J38" s="443"/>
      <c r="K38" s="443"/>
      <c r="L38" s="443"/>
      <c r="M38" s="465">
        <v>113</v>
      </c>
      <c r="N38" s="466">
        <v>104</v>
      </c>
      <c r="O38" s="467">
        <v>135</v>
      </c>
    </row>
    <row r="39" spans="1:15" ht="19.5" thickBot="1">
      <c r="A39" s="205" t="s">
        <v>139</v>
      </c>
      <c r="B39" s="829" t="s">
        <v>305</v>
      </c>
      <c r="C39" s="469"/>
      <c r="D39" s="470"/>
      <c r="E39" s="470"/>
      <c r="F39" s="470"/>
      <c r="G39" s="470"/>
      <c r="H39" s="470"/>
      <c r="I39" s="472"/>
      <c r="J39" s="472"/>
      <c r="K39" s="472"/>
      <c r="L39" s="472"/>
      <c r="M39" s="474">
        <v>135</v>
      </c>
      <c r="N39" s="475">
        <v>60</v>
      </c>
      <c r="O39" s="476">
        <v>67</v>
      </c>
    </row>
    <row r="40" spans="1:15" ht="18.75" thickBot="1">
      <c r="A40" s="135" t="s">
        <v>23</v>
      </c>
      <c r="B40" s="774"/>
      <c r="C40" s="478">
        <f>C4+C5+C6+C7+C8+C9+C10+C11+C12+C13+C14+C15+C16+C17+C18+C19+C20+C21+C22+C23+C24+C25+C26+C27+C28+C29+C30</f>
        <v>786</v>
      </c>
      <c r="D40" s="478">
        <f t="shared" ref="D40:H40" si="0">D4+D5+D6+D7+D8+D9+D10+D11+D12+D13+D14+D15+D16+D17+D18+D19+D20+D21+D22+D23+D24+D25+D26+D27+D28+D29+D30</f>
        <v>1036</v>
      </c>
      <c r="E40" s="478">
        <f t="shared" si="0"/>
        <v>1234</v>
      </c>
      <c r="F40" s="478">
        <f t="shared" si="0"/>
        <v>1167</v>
      </c>
      <c r="G40" s="478">
        <f t="shared" si="0"/>
        <v>1073</v>
      </c>
      <c r="H40" s="478">
        <f t="shared" si="0"/>
        <v>919</v>
      </c>
      <c r="I40" s="479">
        <f>I31+I32+I33+I34+I35</f>
        <v>1087</v>
      </c>
      <c r="J40" s="479">
        <f t="shared" ref="J40:L40" si="1">J31+J32+J33+J34+J35</f>
        <v>772</v>
      </c>
      <c r="K40" s="479">
        <f t="shared" si="1"/>
        <v>554</v>
      </c>
      <c r="L40" s="479">
        <f t="shared" si="1"/>
        <v>651</v>
      </c>
      <c r="M40" s="422">
        <f>M37+M38+M39</f>
        <v>409</v>
      </c>
      <c r="N40" s="422">
        <f t="shared" ref="N40:O40" si="2">N37+N38+N39</f>
        <v>286</v>
      </c>
      <c r="O40" s="422">
        <f t="shared" si="2"/>
        <v>346</v>
      </c>
    </row>
  </sheetData>
  <mergeCells count="4">
    <mergeCell ref="A1:A3"/>
    <mergeCell ref="C1:H2"/>
    <mergeCell ref="I1:L2"/>
    <mergeCell ref="M1:O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9"/>
  <sheetViews>
    <sheetView topLeftCell="A11" workbookViewId="0">
      <selection activeCell="C25" sqref="C25:H27"/>
    </sheetView>
  </sheetViews>
  <sheetFormatPr baseColWidth="10" defaultRowHeight="15"/>
  <cols>
    <col min="1" max="1" width="28" customWidth="1"/>
    <col min="2" max="2" width="11.42578125" style="12"/>
  </cols>
  <sheetData>
    <row r="1" spans="1:15" ht="15.75">
      <c r="A1" s="207" t="s">
        <v>3</v>
      </c>
      <c r="B1" s="201"/>
      <c r="C1" s="107" t="s">
        <v>6</v>
      </c>
      <c r="D1" s="108"/>
      <c r="E1" s="108"/>
      <c r="F1" s="108"/>
      <c r="G1" s="108"/>
      <c r="H1" s="108"/>
      <c r="I1" s="208" t="s">
        <v>7</v>
      </c>
      <c r="J1" s="208"/>
      <c r="K1" s="208"/>
      <c r="L1" s="208"/>
      <c r="M1" s="210" t="s">
        <v>8</v>
      </c>
      <c r="N1" s="211"/>
      <c r="O1" s="211"/>
    </row>
    <row r="2" spans="1:15" ht="16.5" thickBot="1">
      <c r="A2" s="214"/>
      <c r="B2" s="815"/>
      <c r="C2" s="110"/>
      <c r="D2" s="111"/>
      <c r="E2" s="111"/>
      <c r="F2" s="111"/>
      <c r="G2" s="111"/>
      <c r="H2" s="111"/>
      <c r="I2" s="215"/>
      <c r="J2" s="215"/>
      <c r="K2" s="215"/>
      <c r="L2" s="215"/>
      <c r="M2" s="217"/>
      <c r="N2" s="218"/>
      <c r="O2" s="218"/>
    </row>
    <row r="3" spans="1:15" ht="16.5" thickBot="1">
      <c r="A3" s="221"/>
      <c r="B3" s="815"/>
      <c r="C3" s="222" t="s">
        <v>10</v>
      </c>
      <c r="D3" s="223" t="s">
        <v>11</v>
      </c>
      <c r="E3" s="223" t="s">
        <v>12</v>
      </c>
      <c r="F3" s="223" t="s">
        <v>13</v>
      </c>
      <c r="G3" s="223" t="s">
        <v>14</v>
      </c>
      <c r="H3" s="224" t="s">
        <v>15</v>
      </c>
      <c r="I3" s="225" t="s">
        <v>11</v>
      </c>
      <c r="J3" s="226" t="s">
        <v>12</v>
      </c>
      <c r="K3" s="226" t="s">
        <v>13</v>
      </c>
      <c r="L3" s="68" t="s">
        <v>14</v>
      </c>
      <c r="M3" s="199" t="s">
        <v>11</v>
      </c>
      <c r="N3" s="201" t="s">
        <v>12</v>
      </c>
      <c r="O3" s="776" t="s">
        <v>13</v>
      </c>
    </row>
    <row r="4" spans="1:15" ht="18.75">
      <c r="A4" s="183" t="s">
        <v>140</v>
      </c>
      <c r="B4" s="826" t="s">
        <v>303</v>
      </c>
      <c r="C4" s="379">
        <v>39</v>
      </c>
      <c r="D4" s="380">
        <v>59</v>
      </c>
      <c r="E4" s="380">
        <v>100</v>
      </c>
      <c r="F4" s="380">
        <v>80</v>
      </c>
      <c r="G4" s="380">
        <v>94</v>
      </c>
      <c r="H4" s="381">
        <v>56</v>
      </c>
      <c r="I4" s="388"/>
      <c r="J4" s="388"/>
      <c r="K4" s="388"/>
      <c r="L4" s="388"/>
      <c r="M4" s="768"/>
      <c r="N4" s="768"/>
      <c r="O4" s="768"/>
    </row>
    <row r="5" spans="1:15" ht="18.75">
      <c r="A5" s="186" t="s">
        <v>141</v>
      </c>
      <c r="B5" s="826" t="s">
        <v>303</v>
      </c>
      <c r="C5" s="379">
        <v>50</v>
      </c>
      <c r="D5" s="380">
        <v>104</v>
      </c>
      <c r="E5" s="380">
        <v>146</v>
      </c>
      <c r="F5" s="380">
        <v>108</v>
      </c>
      <c r="G5" s="380">
        <v>96</v>
      </c>
      <c r="H5" s="381">
        <v>104</v>
      </c>
      <c r="I5" s="392"/>
      <c r="J5" s="392"/>
      <c r="K5" s="392"/>
      <c r="L5" s="392"/>
      <c r="M5" s="769"/>
      <c r="N5" s="769"/>
      <c r="O5" s="769"/>
    </row>
    <row r="6" spans="1:15" ht="18.75">
      <c r="A6" s="186" t="s">
        <v>142</v>
      </c>
      <c r="B6" s="826" t="s">
        <v>303</v>
      </c>
      <c r="C6" s="379">
        <v>56</v>
      </c>
      <c r="D6" s="380">
        <v>74</v>
      </c>
      <c r="E6" s="380">
        <v>93</v>
      </c>
      <c r="F6" s="380">
        <v>104</v>
      </c>
      <c r="G6" s="380">
        <v>78</v>
      </c>
      <c r="H6" s="381">
        <v>67</v>
      </c>
      <c r="I6" s="392"/>
      <c r="J6" s="392"/>
      <c r="K6" s="392"/>
      <c r="L6" s="392"/>
      <c r="M6" s="769"/>
      <c r="N6" s="769"/>
      <c r="O6" s="769"/>
    </row>
    <row r="7" spans="1:15" ht="18.75">
      <c r="A7" s="189" t="s">
        <v>143</v>
      </c>
      <c r="B7" s="826" t="s">
        <v>303</v>
      </c>
      <c r="C7" s="379">
        <v>28</v>
      </c>
      <c r="D7" s="380">
        <v>51</v>
      </c>
      <c r="E7" s="380">
        <v>53</v>
      </c>
      <c r="F7" s="380">
        <v>61</v>
      </c>
      <c r="G7" s="380">
        <v>53</v>
      </c>
      <c r="H7" s="381">
        <v>54</v>
      </c>
      <c r="I7" s="392"/>
      <c r="J7" s="392"/>
      <c r="K7" s="392"/>
      <c r="L7" s="392"/>
      <c r="M7" s="769"/>
      <c r="N7" s="769"/>
      <c r="O7" s="769"/>
    </row>
    <row r="8" spans="1:15" ht="18.75">
      <c r="A8" s="186" t="s">
        <v>144</v>
      </c>
      <c r="B8" s="826" t="s">
        <v>303</v>
      </c>
      <c r="C8" s="379">
        <v>13</v>
      </c>
      <c r="D8" s="380">
        <v>17</v>
      </c>
      <c r="E8" s="380">
        <v>29</v>
      </c>
      <c r="F8" s="380">
        <v>22</v>
      </c>
      <c r="G8" s="380">
        <v>31</v>
      </c>
      <c r="H8" s="381">
        <v>17</v>
      </c>
      <c r="I8" s="392"/>
      <c r="J8" s="392"/>
      <c r="K8" s="392"/>
      <c r="L8" s="392"/>
      <c r="M8" s="769"/>
      <c r="N8" s="769"/>
      <c r="O8" s="769"/>
    </row>
    <row r="9" spans="1:15" ht="18.75">
      <c r="A9" s="186" t="s">
        <v>145</v>
      </c>
      <c r="B9" s="826" t="s">
        <v>303</v>
      </c>
      <c r="C9" s="379">
        <v>50</v>
      </c>
      <c r="D9" s="380">
        <v>72</v>
      </c>
      <c r="E9" s="380">
        <v>75</v>
      </c>
      <c r="F9" s="380">
        <v>70</v>
      </c>
      <c r="G9" s="380">
        <v>56</v>
      </c>
      <c r="H9" s="381">
        <v>55</v>
      </c>
      <c r="I9" s="392"/>
      <c r="J9" s="392"/>
      <c r="K9" s="392"/>
      <c r="L9" s="392"/>
      <c r="M9" s="769"/>
      <c r="N9" s="769"/>
      <c r="O9" s="769"/>
    </row>
    <row r="10" spans="1:15" ht="18.75">
      <c r="A10" s="189" t="s">
        <v>146</v>
      </c>
      <c r="B10" s="826" t="s">
        <v>303</v>
      </c>
      <c r="C10" s="379">
        <v>25</v>
      </c>
      <c r="D10" s="380">
        <v>52</v>
      </c>
      <c r="E10" s="380">
        <v>53</v>
      </c>
      <c r="F10" s="380">
        <v>53</v>
      </c>
      <c r="G10" s="380">
        <v>62</v>
      </c>
      <c r="H10" s="381">
        <v>43</v>
      </c>
      <c r="I10" s="392"/>
      <c r="J10" s="392"/>
      <c r="K10" s="392"/>
      <c r="L10" s="392"/>
      <c r="M10" s="769"/>
      <c r="N10" s="769"/>
      <c r="O10" s="769"/>
    </row>
    <row r="11" spans="1:15" ht="18.75">
      <c r="A11" s="186" t="s">
        <v>147</v>
      </c>
      <c r="B11" s="826" t="s">
        <v>303</v>
      </c>
      <c r="C11" s="379">
        <v>49</v>
      </c>
      <c r="D11" s="380">
        <v>45</v>
      </c>
      <c r="E11" s="380">
        <v>54</v>
      </c>
      <c r="F11" s="380">
        <v>44</v>
      </c>
      <c r="G11" s="380">
        <v>44</v>
      </c>
      <c r="H11" s="381">
        <v>47</v>
      </c>
      <c r="I11" s="392"/>
      <c r="J11" s="392"/>
      <c r="K11" s="392"/>
      <c r="L11" s="392"/>
      <c r="M11" s="769"/>
      <c r="N11" s="769"/>
      <c r="O11" s="769"/>
    </row>
    <row r="12" spans="1:15" ht="18.75">
      <c r="A12" s="186" t="s">
        <v>148</v>
      </c>
      <c r="B12" s="826" t="s">
        <v>303</v>
      </c>
      <c r="C12" s="379">
        <v>18</v>
      </c>
      <c r="D12" s="380">
        <v>44</v>
      </c>
      <c r="E12" s="380">
        <v>37</v>
      </c>
      <c r="F12" s="380">
        <v>32</v>
      </c>
      <c r="G12" s="380">
        <v>43</v>
      </c>
      <c r="H12" s="381">
        <v>24</v>
      </c>
      <c r="I12" s="392"/>
      <c r="J12" s="392"/>
      <c r="K12" s="392"/>
      <c r="L12" s="392"/>
      <c r="M12" s="769"/>
      <c r="N12" s="769"/>
      <c r="O12" s="769"/>
    </row>
    <row r="13" spans="1:15" ht="18.75">
      <c r="A13" s="186" t="s">
        <v>149</v>
      </c>
      <c r="B13" s="826" t="s">
        <v>303</v>
      </c>
      <c r="C13" s="379">
        <v>0</v>
      </c>
      <c r="D13" s="380">
        <v>22</v>
      </c>
      <c r="E13" s="380">
        <v>33</v>
      </c>
      <c r="F13" s="380">
        <v>25</v>
      </c>
      <c r="G13" s="380">
        <v>29</v>
      </c>
      <c r="H13" s="381">
        <v>19</v>
      </c>
      <c r="I13" s="392"/>
      <c r="J13" s="392"/>
      <c r="K13" s="392"/>
      <c r="L13" s="392"/>
      <c r="M13" s="769"/>
      <c r="N13" s="769"/>
      <c r="O13" s="769"/>
    </row>
    <row r="14" spans="1:15" ht="18.75">
      <c r="A14" s="186" t="s">
        <v>232</v>
      </c>
      <c r="B14" s="826" t="s">
        <v>303</v>
      </c>
      <c r="C14" s="379">
        <v>0</v>
      </c>
      <c r="D14" s="380">
        <v>23</v>
      </c>
      <c r="E14" s="380">
        <v>20</v>
      </c>
      <c r="F14" s="380">
        <v>24</v>
      </c>
      <c r="G14" s="380">
        <v>21</v>
      </c>
      <c r="H14" s="381">
        <v>27</v>
      </c>
      <c r="I14" s="392"/>
      <c r="J14" s="392"/>
      <c r="K14" s="392"/>
      <c r="L14" s="392"/>
      <c r="M14" s="769"/>
      <c r="N14" s="769"/>
      <c r="O14" s="769"/>
    </row>
    <row r="15" spans="1:15" ht="18.75">
      <c r="A15" s="186" t="s">
        <v>150</v>
      </c>
      <c r="B15" s="826" t="s">
        <v>303</v>
      </c>
      <c r="C15" s="379">
        <v>0</v>
      </c>
      <c r="D15" s="380">
        <v>15</v>
      </c>
      <c r="E15" s="380">
        <v>25</v>
      </c>
      <c r="F15" s="380">
        <v>25</v>
      </c>
      <c r="G15" s="380">
        <v>25</v>
      </c>
      <c r="H15" s="381">
        <v>24</v>
      </c>
      <c r="I15" s="392"/>
      <c r="J15" s="392"/>
      <c r="K15" s="392"/>
      <c r="L15" s="392"/>
      <c r="M15" s="769"/>
      <c r="N15" s="769"/>
      <c r="O15" s="769"/>
    </row>
    <row r="16" spans="1:15" ht="18.75">
      <c r="A16" s="186" t="s">
        <v>151</v>
      </c>
      <c r="B16" s="826" t="s">
        <v>303</v>
      </c>
      <c r="C16" s="379">
        <v>44</v>
      </c>
      <c r="D16" s="380">
        <v>59</v>
      </c>
      <c r="E16" s="380">
        <v>67</v>
      </c>
      <c r="F16" s="380">
        <v>60</v>
      </c>
      <c r="G16" s="380">
        <v>57</v>
      </c>
      <c r="H16" s="381">
        <v>55</v>
      </c>
      <c r="I16" s="392"/>
      <c r="J16" s="392"/>
      <c r="K16" s="392"/>
      <c r="L16" s="392"/>
      <c r="M16" s="769"/>
      <c r="N16" s="769"/>
      <c r="O16" s="769"/>
    </row>
    <row r="17" spans="1:15" ht="18.75">
      <c r="A17" s="186" t="s">
        <v>253</v>
      </c>
      <c r="B17" s="826" t="s">
        <v>303</v>
      </c>
      <c r="C17" s="379">
        <v>0</v>
      </c>
      <c r="D17" s="380">
        <v>9</v>
      </c>
      <c r="E17" s="380">
        <v>6</v>
      </c>
      <c r="F17" s="380">
        <v>1</v>
      </c>
      <c r="G17" s="380">
        <v>6</v>
      </c>
      <c r="H17" s="381">
        <v>4</v>
      </c>
      <c r="I17" s="392"/>
      <c r="J17" s="392"/>
      <c r="K17" s="392"/>
      <c r="L17" s="392"/>
      <c r="M17" s="769"/>
      <c r="N17" s="769"/>
      <c r="O17" s="769"/>
    </row>
    <row r="18" spans="1:15" ht="18.75">
      <c r="A18" s="186" t="s">
        <v>261</v>
      </c>
      <c r="B18" s="826" t="s">
        <v>303</v>
      </c>
      <c r="C18" s="379">
        <v>0</v>
      </c>
      <c r="D18" s="380">
        <v>7</v>
      </c>
      <c r="E18" s="380">
        <v>3</v>
      </c>
      <c r="F18" s="380">
        <v>3</v>
      </c>
      <c r="G18" s="380">
        <v>5</v>
      </c>
      <c r="H18" s="381">
        <v>0</v>
      </c>
      <c r="I18" s="392"/>
      <c r="J18" s="392"/>
      <c r="K18" s="392"/>
      <c r="L18" s="392"/>
      <c r="M18" s="769"/>
      <c r="N18" s="769"/>
      <c r="O18" s="769"/>
    </row>
    <row r="19" spans="1:15" ht="18.75">
      <c r="A19" s="186" t="s">
        <v>233</v>
      </c>
      <c r="B19" s="826" t="s">
        <v>303</v>
      </c>
      <c r="C19" s="379">
        <v>0</v>
      </c>
      <c r="D19" s="380">
        <v>6</v>
      </c>
      <c r="E19" s="380">
        <v>9</v>
      </c>
      <c r="F19" s="380">
        <v>8</v>
      </c>
      <c r="G19" s="380">
        <v>15</v>
      </c>
      <c r="H19" s="381">
        <v>16</v>
      </c>
      <c r="I19" s="392"/>
      <c r="J19" s="392"/>
      <c r="K19" s="392"/>
      <c r="L19" s="392"/>
      <c r="M19" s="769"/>
      <c r="N19" s="769"/>
      <c r="O19" s="769"/>
    </row>
    <row r="20" spans="1:15" ht="18.75">
      <c r="A20" s="186" t="s">
        <v>262</v>
      </c>
      <c r="B20" s="826" t="s">
        <v>303</v>
      </c>
      <c r="C20" s="379">
        <v>0</v>
      </c>
      <c r="D20" s="380">
        <v>5</v>
      </c>
      <c r="E20" s="380">
        <v>2</v>
      </c>
      <c r="F20" s="380">
        <v>6</v>
      </c>
      <c r="G20" s="380">
        <v>6</v>
      </c>
      <c r="H20" s="381">
        <v>3</v>
      </c>
      <c r="I20" s="392"/>
      <c r="J20" s="392"/>
      <c r="K20" s="392"/>
      <c r="L20" s="392"/>
      <c r="M20" s="769"/>
      <c r="N20" s="769"/>
      <c r="O20" s="769"/>
    </row>
    <row r="21" spans="1:15" ht="18.75">
      <c r="A21" s="186" t="s">
        <v>234</v>
      </c>
      <c r="B21" s="826" t="s">
        <v>303</v>
      </c>
      <c r="C21" s="379">
        <v>0</v>
      </c>
      <c r="D21" s="380">
        <v>5</v>
      </c>
      <c r="E21" s="380">
        <v>1</v>
      </c>
      <c r="F21" s="380">
        <v>2</v>
      </c>
      <c r="G21" s="380">
        <v>3</v>
      </c>
      <c r="H21" s="381">
        <v>6</v>
      </c>
      <c r="I21" s="392"/>
      <c r="J21" s="392"/>
      <c r="K21" s="392"/>
      <c r="L21" s="392"/>
      <c r="M21" s="769"/>
      <c r="N21" s="769"/>
      <c r="O21" s="769"/>
    </row>
    <row r="22" spans="1:15" ht="18.75">
      <c r="A22" s="186" t="s">
        <v>260</v>
      </c>
      <c r="B22" s="826" t="s">
        <v>303</v>
      </c>
      <c r="C22" s="379">
        <v>0</v>
      </c>
      <c r="D22" s="380">
        <v>4</v>
      </c>
      <c r="E22" s="380">
        <v>5</v>
      </c>
      <c r="F22" s="380">
        <v>4</v>
      </c>
      <c r="G22" s="380">
        <v>6</v>
      </c>
      <c r="H22" s="381">
        <v>4</v>
      </c>
      <c r="I22" s="392"/>
      <c r="J22" s="392"/>
      <c r="K22" s="392"/>
      <c r="L22" s="392"/>
      <c r="M22" s="769"/>
      <c r="N22" s="769"/>
      <c r="O22" s="769"/>
    </row>
    <row r="23" spans="1:15" ht="18.75">
      <c r="A23" s="186" t="s">
        <v>263</v>
      </c>
      <c r="B23" s="826" t="s">
        <v>303</v>
      </c>
      <c r="C23" s="379">
        <v>0</v>
      </c>
      <c r="D23" s="380">
        <v>10</v>
      </c>
      <c r="E23" s="380">
        <v>2</v>
      </c>
      <c r="F23" s="380">
        <v>7</v>
      </c>
      <c r="G23" s="380">
        <v>5</v>
      </c>
      <c r="H23" s="381">
        <v>0</v>
      </c>
      <c r="I23" s="392"/>
      <c r="J23" s="392"/>
      <c r="K23" s="392"/>
      <c r="L23" s="392"/>
      <c r="M23" s="769"/>
      <c r="N23" s="769"/>
      <c r="O23" s="769"/>
    </row>
    <row r="24" spans="1:15" ht="19.5" thickBot="1">
      <c r="A24" s="186" t="s">
        <v>264</v>
      </c>
      <c r="B24" s="826" t="s">
        <v>303</v>
      </c>
      <c r="C24" s="396">
        <v>0</v>
      </c>
      <c r="D24" s="368">
        <v>29</v>
      </c>
      <c r="E24" s="368">
        <v>41</v>
      </c>
      <c r="F24" s="368">
        <v>30</v>
      </c>
      <c r="G24" s="368">
        <v>49</v>
      </c>
      <c r="H24" s="369">
        <v>23</v>
      </c>
      <c r="I24" s="392"/>
      <c r="J24" s="392"/>
      <c r="K24" s="392"/>
      <c r="L24" s="392"/>
      <c r="M24" s="769"/>
      <c r="N24" s="769"/>
      <c r="O24" s="769"/>
    </row>
    <row r="25" spans="1:15" ht="19.5" thickBot="1">
      <c r="A25" s="173" t="s">
        <v>152</v>
      </c>
      <c r="B25" s="821" t="s">
        <v>304</v>
      </c>
      <c r="C25" s="399"/>
      <c r="D25" s="400"/>
      <c r="E25" s="400"/>
      <c r="F25" s="400"/>
      <c r="G25" s="400"/>
      <c r="H25" s="400"/>
      <c r="I25" s="402">
        <v>306</v>
      </c>
      <c r="J25" s="403">
        <v>209</v>
      </c>
      <c r="K25" s="403">
        <v>131</v>
      </c>
      <c r="L25" s="404">
        <v>132</v>
      </c>
      <c r="M25" s="769"/>
      <c r="N25" s="769"/>
      <c r="O25" s="769"/>
    </row>
    <row r="26" spans="1:15" ht="19.5" thickBot="1">
      <c r="A26" s="173" t="s">
        <v>153</v>
      </c>
      <c r="B26" s="821" t="s">
        <v>304</v>
      </c>
      <c r="C26" s="405"/>
      <c r="D26" s="406"/>
      <c r="E26" s="406"/>
      <c r="F26" s="406"/>
      <c r="G26" s="406"/>
      <c r="H26" s="406"/>
      <c r="I26" s="402">
        <v>229</v>
      </c>
      <c r="J26" s="403">
        <v>185</v>
      </c>
      <c r="K26" s="403">
        <v>126</v>
      </c>
      <c r="L26" s="404">
        <v>118</v>
      </c>
      <c r="M26" s="769"/>
      <c r="N26" s="769"/>
      <c r="O26" s="769"/>
    </row>
    <row r="27" spans="1:15" ht="19.5" thickBot="1">
      <c r="A27" s="230" t="s">
        <v>154</v>
      </c>
      <c r="B27" s="821" t="s">
        <v>304</v>
      </c>
      <c r="C27" s="408"/>
      <c r="D27" s="409"/>
      <c r="E27" s="409"/>
      <c r="F27" s="409"/>
      <c r="G27" s="409"/>
      <c r="H27" s="409"/>
      <c r="I27" s="411">
        <v>325</v>
      </c>
      <c r="J27" s="412">
        <v>232</v>
      </c>
      <c r="K27" s="412">
        <v>127</v>
      </c>
      <c r="L27" s="413">
        <v>101</v>
      </c>
      <c r="M27" s="769"/>
      <c r="N27" s="769"/>
      <c r="O27" s="769"/>
    </row>
    <row r="28" spans="1:15" ht="19.5" thickBot="1">
      <c r="A28" s="231" t="s">
        <v>288</v>
      </c>
      <c r="B28" s="829" t="s">
        <v>305</v>
      </c>
      <c r="C28" s="415"/>
      <c r="D28" s="416"/>
      <c r="E28" s="416"/>
      <c r="F28" s="416"/>
      <c r="G28" s="416"/>
      <c r="H28" s="416"/>
      <c r="I28" s="418"/>
      <c r="J28" s="418"/>
      <c r="K28" s="418"/>
      <c r="L28" s="418"/>
      <c r="M28" s="420">
        <v>176</v>
      </c>
      <c r="N28" s="420">
        <v>97</v>
      </c>
      <c r="O28" s="420">
        <v>128</v>
      </c>
    </row>
    <row r="29" spans="1:15" ht="18.75" thickBot="1">
      <c r="A29" s="135" t="s">
        <v>23</v>
      </c>
      <c r="B29" s="774"/>
      <c r="C29" s="422">
        <f>C4+C5+C6+C7+C8+C9+C10+C11+C12+C13+C14+C15+C16+C17+C18+C19+C20+C21+C22</f>
        <v>372</v>
      </c>
      <c r="D29" s="422">
        <f t="shared" ref="D29:G29" si="0">D4+D5+D6+D7+D8+D9+D10+D11+D12+D13+D14+D15+D16+D17+D18+D19+D20+D21+D22+D23+D24</f>
        <v>712</v>
      </c>
      <c r="E29" s="422">
        <f t="shared" si="0"/>
        <v>854</v>
      </c>
      <c r="F29" s="422">
        <f t="shared" si="0"/>
        <v>769</v>
      </c>
      <c r="G29" s="422">
        <f t="shared" si="0"/>
        <v>784</v>
      </c>
      <c r="H29" s="423">
        <f>H4+H5+H6+H7+H8+H9+H10+H11+H12+H13+H14+H15+H16+H17+H18+H19+H20+H21+H22+H23+H24</f>
        <v>648</v>
      </c>
      <c r="I29" s="422">
        <f>I25+I26+I27</f>
        <v>860</v>
      </c>
      <c r="J29" s="422">
        <f t="shared" ref="J29:L29" si="1">J25+J26+J27</f>
        <v>626</v>
      </c>
      <c r="K29" s="422">
        <f t="shared" si="1"/>
        <v>384</v>
      </c>
      <c r="L29" s="422">
        <f t="shared" si="1"/>
        <v>351</v>
      </c>
      <c r="M29" s="422">
        <f>M28</f>
        <v>176</v>
      </c>
      <c r="N29" s="422">
        <f t="shared" ref="N29:O29" si="2">N28</f>
        <v>97</v>
      </c>
      <c r="O29" s="422">
        <f t="shared" si="2"/>
        <v>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4"/>
  <sheetViews>
    <sheetView workbookViewId="0">
      <selection activeCell="O13" sqref="O13"/>
    </sheetView>
  </sheetViews>
  <sheetFormatPr baseColWidth="10" defaultRowHeight="15"/>
  <cols>
    <col min="1" max="1" width="23.85546875" customWidth="1"/>
    <col min="2" max="2" width="11.42578125" style="12"/>
  </cols>
  <sheetData>
    <row r="1" spans="1:15" ht="15.75">
      <c r="A1" s="866" t="s">
        <v>3</v>
      </c>
      <c r="B1" s="201"/>
      <c r="C1" s="869" t="s">
        <v>6</v>
      </c>
      <c r="D1" s="870"/>
      <c r="E1" s="870"/>
      <c r="F1" s="870"/>
      <c r="G1" s="870"/>
      <c r="H1" s="870"/>
      <c r="I1" s="875" t="s">
        <v>7</v>
      </c>
      <c r="J1" s="876"/>
      <c r="K1" s="876"/>
      <c r="L1" s="876"/>
      <c r="M1" s="881" t="s">
        <v>8</v>
      </c>
      <c r="N1" s="882"/>
      <c r="O1" s="882"/>
    </row>
    <row r="2" spans="1:15" ht="16.5" thickBot="1">
      <c r="A2" s="867"/>
      <c r="B2" s="815"/>
      <c r="C2" s="872"/>
      <c r="D2" s="873"/>
      <c r="E2" s="873"/>
      <c r="F2" s="873"/>
      <c r="G2" s="873"/>
      <c r="H2" s="873"/>
      <c r="I2" s="878"/>
      <c r="J2" s="879"/>
      <c r="K2" s="879"/>
      <c r="L2" s="879"/>
      <c r="M2" s="884"/>
      <c r="N2" s="885"/>
      <c r="O2" s="885"/>
    </row>
    <row r="3" spans="1:15" ht="16.5" thickBot="1">
      <c r="A3" s="868"/>
      <c r="B3" s="774"/>
      <c r="C3" s="196" t="s">
        <v>10</v>
      </c>
      <c r="D3" s="197" t="s">
        <v>11</v>
      </c>
      <c r="E3" s="197" t="s">
        <v>12</v>
      </c>
      <c r="F3" s="197" t="s">
        <v>13</v>
      </c>
      <c r="G3" s="197" t="s">
        <v>14</v>
      </c>
      <c r="H3" s="198" t="s">
        <v>15</v>
      </c>
      <c r="I3" s="199" t="s">
        <v>11</v>
      </c>
      <c r="J3" s="776" t="s">
        <v>12</v>
      </c>
      <c r="K3" s="776" t="s">
        <v>13</v>
      </c>
      <c r="L3" s="201" t="s">
        <v>14</v>
      </c>
      <c r="M3" s="199" t="s">
        <v>11</v>
      </c>
      <c r="N3" s="201" t="s">
        <v>12</v>
      </c>
      <c r="O3" s="776" t="s">
        <v>13</v>
      </c>
    </row>
    <row r="4" spans="1:15" ht="18.75">
      <c r="A4" s="183" t="s">
        <v>155</v>
      </c>
      <c r="B4" s="826" t="s">
        <v>303</v>
      </c>
      <c r="C4" s="376">
        <v>25</v>
      </c>
      <c r="D4" s="377">
        <v>29</v>
      </c>
      <c r="E4" s="377">
        <v>39</v>
      </c>
      <c r="F4" s="377">
        <v>38</v>
      </c>
      <c r="G4" s="377">
        <v>33</v>
      </c>
      <c r="H4" s="378">
        <v>35</v>
      </c>
      <c r="I4" s="73"/>
      <c r="J4" s="73"/>
      <c r="K4" s="73"/>
      <c r="L4" s="73"/>
      <c r="M4" s="73"/>
      <c r="N4" s="73"/>
      <c r="O4" s="73"/>
    </row>
    <row r="5" spans="1:15" ht="18.75">
      <c r="A5" s="186" t="s">
        <v>156</v>
      </c>
      <c r="B5" s="826" t="s">
        <v>303</v>
      </c>
      <c r="C5" s="379">
        <v>43</v>
      </c>
      <c r="D5" s="380">
        <v>63</v>
      </c>
      <c r="E5" s="380">
        <v>74</v>
      </c>
      <c r="F5" s="380">
        <v>68</v>
      </c>
      <c r="G5" s="380">
        <v>62</v>
      </c>
      <c r="H5" s="381">
        <v>55</v>
      </c>
      <c r="I5" s="79"/>
      <c r="J5" s="79"/>
      <c r="K5" s="79"/>
      <c r="L5" s="79"/>
      <c r="M5" s="79"/>
      <c r="N5" s="79"/>
      <c r="O5" s="79"/>
    </row>
    <row r="6" spans="1:15" ht="18.75">
      <c r="A6" s="186" t="s">
        <v>157</v>
      </c>
      <c r="B6" s="826" t="s">
        <v>303</v>
      </c>
      <c r="C6" s="379">
        <v>0</v>
      </c>
      <c r="D6" s="380">
        <v>25</v>
      </c>
      <c r="E6" s="380">
        <v>36</v>
      </c>
      <c r="F6" s="380">
        <v>19</v>
      </c>
      <c r="G6" s="380">
        <v>22</v>
      </c>
      <c r="H6" s="381">
        <v>12</v>
      </c>
      <c r="I6" s="79"/>
      <c r="J6" s="79"/>
      <c r="K6" s="79"/>
      <c r="L6" s="79"/>
      <c r="M6" s="79"/>
      <c r="N6" s="79"/>
      <c r="O6" s="79"/>
    </row>
    <row r="7" spans="1:15" ht="18.75">
      <c r="A7" s="186" t="s">
        <v>158</v>
      </c>
      <c r="B7" s="826" t="s">
        <v>303</v>
      </c>
      <c r="C7" s="379">
        <v>4</v>
      </c>
      <c r="D7" s="380">
        <v>8</v>
      </c>
      <c r="E7" s="380">
        <v>9</v>
      </c>
      <c r="F7" s="380">
        <v>6</v>
      </c>
      <c r="G7" s="380">
        <v>9</v>
      </c>
      <c r="H7" s="381">
        <v>5</v>
      </c>
      <c r="I7" s="79"/>
      <c r="J7" s="79"/>
      <c r="K7" s="79"/>
      <c r="L7" s="79"/>
      <c r="M7" s="79"/>
      <c r="N7" s="79"/>
      <c r="O7" s="79"/>
    </row>
    <row r="8" spans="1:15" ht="18.75">
      <c r="A8" s="186" t="s">
        <v>159</v>
      </c>
      <c r="B8" s="826" t="s">
        <v>303</v>
      </c>
      <c r="C8" s="379">
        <v>0</v>
      </c>
      <c r="D8" s="380">
        <v>6</v>
      </c>
      <c r="E8" s="380">
        <v>2</v>
      </c>
      <c r="F8" s="380">
        <v>3</v>
      </c>
      <c r="G8" s="380">
        <v>3</v>
      </c>
      <c r="H8" s="381">
        <v>1</v>
      </c>
      <c r="I8" s="79"/>
      <c r="J8" s="79"/>
      <c r="K8" s="79"/>
      <c r="L8" s="79"/>
      <c r="M8" s="79"/>
      <c r="N8" s="79"/>
      <c r="O8" s="79"/>
    </row>
    <row r="9" spans="1:15" ht="18.75">
      <c r="A9" s="236" t="s">
        <v>237</v>
      </c>
      <c r="B9" s="826" t="s">
        <v>303</v>
      </c>
      <c r="C9" s="382">
        <v>19</v>
      </c>
      <c r="D9" s="383">
        <v>44</v>
      </c>
      <c r="E9" s="383">
        <v>65</v>
      </c>
      <c r="F9" s="383">
        <v>51</v>
      </c>
      <c r="G9" s="383">
        <v>52</v>
      </c>
      <c r="H9" s="384">
        <v>43</v>
      </c>
      <c r="I9" s="79"/>
      <c r="J9" s="79"/>
      <c r="K9" s="79"/>
      <c r="L9" s="79"/>
      <c r="M9" s="79"/>
      <c r="N9" s="79"/>
      <c r="O9" s="79"/>
    </row>
    <row r="10" spans="1:15" ht="18.75">
      <c r="A10" s="237" t="s">
        <v>238</v>
      </c>
      <c r="B10" s="826" t="s">
        <v>303</v>
      </c>
      <c r="C10" s="382">
        <v>0</v>
      </c>
      <c r="D10" s="383">
        <v>1</v>
      </c>
      <c r="E10" s="383">
        <v>15</v>
      </c>
      <c r="F10" s="383">
        <v>7</v>
      </c>
      <c r="G10" s="383">
        <v>2</v>
      </c>
      <c r="H10" s="383">
        <v>3</v>
      </c>
      <c r="I10" s="79"/>
      <c r="J10" s="79"/>
      <c r="K10" s="79"/>
      <c r="L10" s="79"/>
      <c r="M10" s="79"/>
      <c r="N10" s="79"/>
      <c r="O10" s="79"/>
    </row>
    <row r="11" spans="1:15" ht="19.5" thickBot="1">
      <c r="A11" s="238" t="s">
        <v>252</v>
      </c>
      <c r="B11" s="826" t="s">
        <v>303</v>
      </c>
      <c r="C11" s="385">
        <v>0</v>
      </c>
      <c r="D11" s="386">
        <v>3</v>
      </c>
      <c r="E11" s="386">
        <v>2</v>
      </c>
      <c r="F11" s="386">
        <v>5</v>
      </c>
      <c r="G11" s="386">
        <v>3</v>
      </c>
      <c r="H11" s="386">
        <v>1</v>
      </c>
      <c r="I11" s="79"/>
      <c r="J11" s="79"/>
      <c r="K11" s="79"/>
      <c r="L11" s="79"/>
      <c r="M11" s="79"/>
      <c r="N11" s="79"/>
      <c r="O11" s="79"/>
    </row>
    <row r="12" spans="1:15" ht="16.5" thickBot="1">
      <c r="A12" s="240" t="s">
        <v>160</v>
      </c>
      <c r="B12" s="777" t="s">
        <v>304</v>
      </c>
      <c r="C12" s="241"/>
      <c r="D12" s="242"/>
      <c r="E12" s="242"/>
      <c r="F12" s="242"/>
      <c r="G12" s="242"/>
      <c r="H12" s="242"/>
      <c r="I12" s="172">
        <v>215</v>
      </c>
      <c r="J12" s="244">
        <v>129</v>
      </c>
      <c r="K12" s="244">
        <v>94</v>
      </c>
      <c r="L12" s="244">
        <v>107</v>
      </c>
      <c r="M12" s="789"/>
      <c r="N12" s="84"/>
      <c r="O12" s="84"/>
    </row>
    <row r="13" spans="1:15" ht="16.5" thickBot="1">
      <c r="A13" s="231" t="s">
        <v>161</v>
      </c>
      <c r="B13" s="822" t="s">
        <v>305</v>
      </c>
      <c r="C13" s="788">
        <v>0</v>
      </c>
      <c r="D13" s="79">
        <v>0</v>
      </c>
      <c r="E13" s="79">
        <v>0</v>
      </c>
      <c r="F13" s="79">
        <v>0</v>
      </c>
      <c r="G13" s="79">
        <v>0</v>
      </c>
      <c r="H13" s="79">
        <v>0</v>
      </c>
      <c r="I13" s="79">
        <v>0</v>
      </c>
      <c r="J13" s="73">
        <v>0</v>
      </c>
      <c r="K13" s="73">
        <v>0</v>
      </c>
      <c r="L13" s="73">
        <v>0</v>
      </c>
      <c r="M13" s="87">
        <v>42</v>
      </c>
      <c r="N13" s="87">
        <v>51</v>
      </c>
      <c r="O13" s="87">
        <v>54</v>
      </c>
    </row>
    <row r="14" spans="1:15" ht="16.5" thickBot="1">
      <c r="A14" s="135" t="s">
        <v>23</v>
      </c>
      <c r="B14" s="774"/>
      <c r="C14" s="206">
        <f>C4+C5+C6+C7+C8+C9+C10+C11</f>
        <v>91</v>
      </c>
      <c r="D14" s="206">
        <f t="shared" ref="D14:H14" si="0">D4+D5+D6+D7+D8+D9+D10+D11</f>
        <v>179</v>
      </c>
      <c r="E14" s="206">
        <f t="shared" si="0"/>
        <v>242</v>
      </c>
      <c r="F14" s="206">
        <f t="shared" si="0"/>
        <v>197</v>
      </c>
      <c r="G14" s="206">
        <f t="shared" si="0"/>
        <v>186</v>
      </c>
      <c r="H14" s="206">
        <f t="shared" si="0"/>
        <v>155</v>
      </c>
      <c r="I14" s="206">
        <f>I12</f>
        <v>215</v>
      </c>
      <c r="J14" s="206">
        <f>J12</f>
        <v>129</v>
      </c>
      <c r="K14" s="206">
        <f>K12</f>
        <v>94</v>
      </c>
      <c r="L14" s="206">
        <f>L12</f>
        <v>107</v>
      </c>
      <c r="M14" s="206">
        <f>M13</f>
        <v>42</v>
      </c>
      <c r="N14" s="206">
        <f>N13</f>
        <v>51</v>
      </c>
      <c r="O14" s="206">
        <f>O13</f>
        <v>54</v>
      </c>
    </row>
  </sheetData>
  <mergeCells count="4">
    <mergeCell ref="A1:A3"/>
    <mergeCell ref="C1:H2"/>
    <mergeCell ref="I1:L2"/>
    <mergeCell ref="M1:O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2"/>
  <sheetViews>
    <sheetView topLeftCell="A3" workbookViewId="0">
      <selection activeCell="O21" sqref="O21"/>
    </sheetView>
  </sheetViews>
  <sheetFormatPr baseColWidth="10" defaultRowHeight="15"/>
  <cols>
    <col min="1" max="1" width="24.28515625" customWidth="1"/>
    <col min="2" max="2" width="11.42578125" style="12"/>
  </cols>
  <sheetData>
    <row r="1" spans="1:15" ht="15.75">
      <c r="A1" s="902" t="s">
        <v>3</v>
      </c>
      <c r="B1" s="823"/>
      <c r="C1" s="869" t="s">
        <v>6</v>
      </c>
      <c r="D1" s="870"/>
      <c r="E1" s="870"/>
      <c r="F1" s="870"/>
      <c r="G1" s="870"/>
      <c r="H1" s="870"/>
      <c r="I1" s="875" t="s">
        <v>7</v>
      </c>
      <c r="J1" s="876"/>
      <c r="K1" s="876"/>
      <c r="L1" s="876"/>
      <c r="M1" s="881" t="s">
        <v>8</v>
      </c>
      <c r="N1" s="882"/>
      <c r="O1" s="882"/>
    </row>
    <row r="2" spans="1:15" ht="16.5" thickBot="1">
      <c r="A2" s="903"/>
      <c r="B2" s="824"/>
      <c r="C2" s="872"/>
      <c r="D2" s="873"/>
      <c r="E2" s="873"/>
      <c r="F2" s="873"/>
      <c r="G2" s="873"/>
      <c r="H2" s="873"/>
      <c r="I2" s="878"/>
      <c r="J2" s="879"/>
      <c r="K2" s="879"/>
      <c r="L2" s="879"/>
      <c r="M2" s="884"/>
      <c r="N2" s="885"/>
      <c r="O2" s="885"/>
    </row>
    <row r="3" spans="1:15" ht="16.5" thickBot="1">
      <c r="A3" s="904"/>
      <c r="B3" s="816"/>
      <c r="C3" s="139" t="s">
        <v>10</v>
      </c>
      <c r="D3" s="140" t="s">
        <v>11</v>
      </c>
      <c r="E3" s="140" t="s">
        <v>12</v>
      </c>
      <c r="F3" s="140" t="s">
        <v>13</v>
      </c>
      <c r="G3" s="140" t="s">
        <v>14</v>
      </c>
      <c r="H3" s="141" t="s">
        <v>15</v>
      </c>
      <c r="I3" s="251" t="s">
        <v>11</v>
      </c>
      <c r="J3" s="251" t="s">
        <v>12</v>
      </c>
      <c r="K3" s="780" t="s">
        <v>13</v>
      </c>
      <c r="L3" s="780" t="s">
        <v>14</v>
      </c>
      <c r="M3" s="118" t="s">
        <v>11</v>
      </c>
      <c r="N3" s="779" t="s">
        <v>12</v>
      </c>
      <c r="O3" s="780" t="s">
        <v>13</v>
      </c>
    </row>
    <row r="4" spans="1:15" ht="18.75" customHeight="1">
      <c r="A4" s="94" t="s">
        <v>162</v>
      </c>
      <c r="B4" s="810" t="s">
        <v>303</v>
      </c>
      <c r="C4" s="361">
        <v>27</v>
      </c>
      <c r="D4" s="361">
        <v>22</v>
      </c>
      <c r="E4" s="361">
        <v>43</v>
      </c>
      <c r="F4" s="361">
        <v>27</v>
      </c>
      <c r="G4" s="361">
        <v>35</v>
      </c>
      <c r="H4" s="362">
        <v>25</v>
      </c>
      <c r="I4" s="854"/>
      <c r="J4" s="855"/>
      <c r="K4" s="855"/>
      <c r="L4" s="856"/>
      <c r="M4" s="72"/>
      <c r="N4" s="73"/>
      <c r="O4" s="73"/>
    </row>
    <row r="5" spans="1:15" ht="18.75">
      <c r="A5" s="94" t="s">
        <v>163</v>
      </c>
      <c r="B5" s="810" t="s">
        <v>303</v>
      </c>
      <c r="C5" s="361">
        <v>31</v>
      </c>
      <c r="D5" s="361">
        <v>38</v>
      </c>
      <c r="E5" s="361">
        <v>49</v>
      </c>
      <c r="F5" s="361">
        <v>46</v>
      </c>
      <c r="G5" s="361">
        <v>38</v>
      </c>
      <c r="H5" s="362">
        <v>50</v>
      </c>
      <c r="I5" s="857"/>
      <c r="J5" s="858"/>
      <c r="K5" s="858"/>
      <c r="L5" s="859"/>
      <c r="M5" s="788"/>
      <c r="N5" s="79"/>
      <c r="O5" s="79"/>
    </row>
    <row r="6" spans="1:15" ht="18.75">
      <c r="A6" s="77" t="s">
        <v>164</v>
      </c>
      <c r="B6" s="810" t="s">
        <v>303</v>
      </c>
      <c r="C6" s="361">
        <v>37</v>
      </c>
      <c r="D6" s="361">
        <v>64</v>
      </c>
      <c r="E6" s="361">
        <v>64</v>
      </c>
      <c r="F6" s="361">
        <v>63</v>
      </c>
      <c r="G6" s="361">
        <v>64</v>
      </c>
      <c r="H6" s="362">
        <v>64</v>
      </c>
      <c r="I6" s="857"/>
      <c r="J6" s="858"/>
      <c r="K6" s="858"/>
      <c r="L6" s="859"/>
      <c r="M6" s="788"/>
      <c r="N6" s="79"/>
      <c r="O6" s="79"/>
    </row>
    <row r="7" spans="1:15" ht="18.75">
      <c r="A7" s="77" t="s">
        <v>165</v>
      </c>
      <c r="B7" s="810" t="s">
        <v>303</v>
      </c>
      <c r="C7" s="361">
        <v>55</v>
      </c>
      <c r="D7" s="361">
        <v>75</v>
      </c>
      <c r="E7" s="361">
        <v>90</v>
      </c>
      <c r="F7" s="361">
        <v>97</v>
      </c>
      <c r="G7" s="361">
        <v>100</v>
      </c>
      <c r="H7" s="362">
        <v>78</v>
      </c>
      <c r="I7" s="857"/>
      <c r="J7" s="858"/>
      <c r="K7" s="858"/>
      <c r="L7" s="859"/>
      <c r="M7" s="788"/>
      <c r="N7" s="79"/>
      <c r="O7" s="79"/>
    </row>
    <row r="8" spans="1:15" ht="18.75">
      <c r="A8" s="77" t="s">
        <v>166</v>
      </c>
      <c r="B8" s="810" t="s">
        <v>303</v>
      </c>
      <c r="C8" s="361">
        <v>34</v>
      </c>
      <c r="D8" s="361">
        <v>50</v>
      </c>
      <c r="E8" s="361">
        <v>53</v>
      </c>
      <c r="F8" s="361">
        <v>44</v>
      </c>
      <c r="G8" s="361">
        <v>45</v>
      </c>
      <c r="H8" s="362">
        <v>40</v>
      </c>
      <c r="I8" s="857"/>
      <c r="J8" s="858"/>
      <c r="K8" s="858"/>
      <c r="L8" s="859"/>
      <c r="M8" s="788"/>
      <c r="N8" s="79"/>
      <c r="O8" s="79"/>
    </row>
    <row r="9" spans="1:15" ht="18.75">
      <c r="A9" s="77" t="s">
        <v>229</v>
      </c>
      <c r="B9" s="810" t="s">
        <v>303</v>
      </c>
      <c r="C9" s="361">
        <v>5</v>
      </c>
      <c r="D9" s="361">
        <v>11</v>
      </c>
      <c r="E9" s="361">
        <v>19</v>
      </c>
      <c r="F9" s="361">
        <v>20</v>
      </c>
      <c r="G9" s="361">
        <v>21</v>
      </c>
      <c r="H9" s="362">
        <v>9</v>
      </c>
      <c r="I9" s="857"/>
      <c r="J9" s="858"/>
      <c r="K9" s="858"/>
      <c r="L9" s="859"/>
      <c r="M9" s="788"/>
      <c r="N9" s="79"/>
      <c r="O9" s="79"/>
    </row>
    <row r="10" spans="1:15" ht="18.75">
      <c r="A10" s="77" t="s">
        <v>230</v>
      </c>
      <c r="B10" s="810" t="s">
        <v>303</v>
      </c>
      <c r="C10" s="361">
        <v>16</v>
      </c>
      <c r="D10" s="361">
        <v>21</v>
      </c>
      <c r="E10" s="361">
        <v>38</v>
      </c>
      <c r="F10" s="361">
        <v>25</v>
      </c>
      <c r="G10" s="361">
        <v>27</v>
      </c>
      <c r="H10" s="362">
        <v>35</v>
      </c>
      <c r="I10" s="857"/>
      <c r="J10" s="858"/>
      <c r="K10" s="858"/>
      <c r="L10" s="859"/>
      <c r="M10" s="788"/>
      <c r="N10" s="79"/>
      <c r="O10" s="79"/>
    </row>
    <row r="11" spans="1:15" ht="18.75">
      <c r="A11" s="77" t="s">
        <v>167</v>
      </c>
      <c r="B11" s="810" t="s">
        <v>303</v>
      </c>
      <c r="C11" s="361">
        <v>4</v>
      </c>
      <c r="D11" s="361">
        <v>34</v>
      </c>
      <c r="E11" s="361">
        <v>40</v>
      </c>
      <c r="F11" s="361">
        <v>27</v>
      </c>
      <c r="G11" s="361">
        <v>19</v>
      </c>
      <c r="H11" s="362">
        <v>19</v>
      </c>
      <c r="I11" s="857"/>
      <c r="J11" s="858"/>
      <c r="K11" s="858"/>
      <c r="L11" s="859"/>
      <c r="M11" s="788"/>
      <c r="N11" s="79"/>
      <c r="O11" s="79"/>
    </row>
    <row r="12" spans="1:15" ht="18.75">
      <c r="A12" s="77" t="s">
        <v>168</v>
      </c>
      <c r="B12" s="810" t="s">
        <v>303</v>
      </c>
      <c r="C12" s="361">
        <v>0</v>
      </c>
      <c r="D12" s="361">
        <v>10</v>
      </c>
      <c r="E12" s="361">
        <v>7</v>
      </c>
      <c r="F12" s="361">
        <v>10</v>
      </c>
      <c r="G12" s="361">
        <v>10</v>
      </c>
      <c r="H12" s="362">
        <v>9</v>
      </c>
      <c r="I12" s="857"/>
      <c r="J12" s="858"/>
      <c r="K12" s="858"/>
      <c r="L12" s="859"/>
      <c r="M12" s="788"/>
      <c r="N12" s="79"/>
      <c r="O12" s="79"/>
    </row>
    <row r="13" spans="1:15" ht="18.75">
      <c r="A13" s="77" t="s">
        <v>169</v>
      </c>
      <c r="B13" s="810" t="s">
        <v>303</v>
      </c>
      <c r="C13" s="361">
        <v>86</v>
      </c>
      <c r="D13" s="361">
        <v>90</v>
      </c>
      <c r="E13" s="361">
        <v>92</v>
      </c>
      <c r="F13" s="361">
        <v>105</v>
      </c>
      <c r="G13" s="361">
        <v>105</v>
      </c>
      <c r="H13" s="362">
        <v>96</v>
      </c>
      <c r="I13" s="857"/>
      <c r="J13" s="858"/>
      <c r="K13" s="858"/>
      <c r="L13" s="859"/>
      <c r="M13" s="788"/>
      <c r="N13" s="79"/>
      <c r="O13" s="79"/>
    </row>
    <row r="14" spans="1:15" ht="18.75">
      <c r="A14" s="77" t="s">
        <v>170</v>
      </c>
      <c r="B14" s="810" t="s">
        <v>303</v>
      </c>
      <c r="C14" s="361">
        <v>17</v>
      </c>
      <c r="D14" s="361">
        <v>30</v>
      </c>
      <c r="E14" s="361">
        <v>40</v>
      </c>
      <c r="F14" s="361">
        <v>26</v>
      </c>
      <c r="G14" s="361">
        <v>28</v>
      </c>
      <c r="H14" s="362">
        <v>26</v>
      </c>
      <c r="I14" s="857"/>
      <c r="J14" s="858"/>
      <c r="K14" s="858"/>
      <c r="L14" s="859"/>
      <c r="M14" s="788"/>
      <c r="N14" s="79"/>
      <c r="O14" s="79"/>
    </row>
    <row r="15" spans="1:15" ht="18.75">
      <c r="A15" s="128" t="s">
        <v>171</v>
      </c>
      <c r="B15" s="810" t="s">
        <v>303</v>
      </c>
      <c r="C15" s="365">
        <v>8</v>
      </c>
      <c r="D15" s="365">
        <v>25</v>
      </c>
      <c r="E15" s="365">
        <v>20</v>
      </c>
      <c r="F15" s="365">
        <v>18</v>
      </c>
      <c r="G15" s="365">
        <v>16</v>
      </c>
      <c r="H15" s="366">
        <v>16</v>
      </c>
      <c r="I15" s="857"/>
      <c r="J15" s="858"/>
      <c r="K15" s="858"/>
      <c r="L15" s="859"/>
      <c r="M15" s="788"/>
      <c r="N15" s="79"/>
      <c r="O15" s="79"/>
    </row>
    <row r="16" spans="1:15" ht="19.5" thickBot="1">
      <c r="A16" s="252" t="s">
        <v>267</v>
      </c>
      <c r="B16" s="810" t="s">
        <v>303</v>
      </c>
      <c r="C16" s="368">
        <v>0</v>
      </c>
      <c r="D16" s="368">
        <v>4</v>
      </c>
      <c r="E16" s="368">
        <v>9</v>
      </c>
      <c r="F16" s="368">
        <v>10</v>
      </c>
      <c r="G16" s="368">
        <v>0</v>
      </c>
      <c r="H16" s="369">
        <v>0</v>
      </c>
      <c r="I16" s="860"/>
      <c r="J16" s="861"/>
      <c r="K16" s="861"/>
      <c r="L16" s="862"/>
      <c r="M16" s="788"/>
      <c r="N16" s="79"/>
      <c r="O16" s="79"/>
    </row>
    <row r="17" spans="1:15" ht="15.75" customHeight="1">
      <c r="A17" s="253" t="s">
        <v>172</v>
      </c>
      <c r="B17" s="831" t="s">
        <v>304</v>
      </c>
      <c r="C17" s="846"/>
      <c r="D17" s="847"/>
      <c r="E17" s="847"/>
      <c r="F17" s="847"/>
      <c r="G17" s="847"/>
      <c r="H17" s="847"/>
      <c r="I17" s="96">
        <v>266</v>
      </c>
      <c r="J17" s="96">
        <v>166</v>
      </c>
      <c r="K17" s="96">
        <v>132</v>
      </c>
      <c r="L17" s="254">
        <v>140</v>
      </c>
      <c r="M17" s="788"/>
      <c r="N17" s="79"/>
      <c r="O17" s="79"/>
    </row>
    <row r="18" spans="1:15" ht="15.75" customHeight="1">
      <c r="A18" s="153" t="s">
        <v>173</v>
      </c>
      <c r="B18" s="817" t="s">
        <v>304</v>
      </c>
      <c r="C18" s="848"/>
      <c r="D18" s="849"/>
      <c r="E18" s="849"/>
      <c r="F18" s="849"/>
      <c r="G18" s="849"/>
      <c r="H18" s="849"/>
      <c r="I18" s="256">
        <v>158</v>
      </c>
      <c r="J18" s="257">
        <v>158</v>
      </c>
      <c r="K18" s="257">
        <v>106</v>
      </c>
      <c r="L18" s="258">
        <v>113</v>
      </c>
      <c r="M18" s="788"/>
      <c r="N18" s="79"/>
      <c r="O18" s="79"/>
    </row>
    <row r="19" spans="1:15" ht="16.5" customHeight="1" thickBot="1">
      <c r="A19" s="259" t="s">
        <v>174</v>
      </c>
      <c r="B19" s="817" t="s">
        <v>304</v>
      </c>
      <c r="C19" s="848"/>
      <c r="D19" s="849"/>
      <c r="E19" s="849"/>
      <c r="F19" s="849"/>
      <c r="G19" s="849"/>
      <c r="H19" s="849"/>
      <c r="I19" s="260">
        <v>218</v>
      </c>
      <c r="J19" s="261">
        <v>190</v>
      </c>
      <c r="K19" s="261">
        <v>131</v>
      </c>
      <c r="L19" s="778">
        <v>136</v>
      </c>
      <c r="M19" s="788"/>
      <c r="N19" s="79"/>
      <c r="O19" s="79"/>
    </row>
    <row r="20" spans="1:15" ht="16.5" customHeight="1" thickBot="1">
      <c r="A20" s="263" t="s">
        <v>175</v>
      </c>
      <c r="B20" s="832" t="s">
        <v>305</v>
      </c>
      <c r="C20" s="848"/>
      <c r="D20" s="849"/>
      <c r="E20" s="849"/>
      <c r="F20" s="849"/>
      <c r="G20" s="849"/>
      <c r="H20" s="849"/>
      <c r="I20" s="850"/>
      <c r="J20" s="850"/>
      <c r="K20" s="850"/>
      <c r="L20" s="851"/>
      <c r="M20" s="265">
        <v>175</v>
      </c>
      <c r="N20" s="266">
        <v>159</v>
      </c>
      <c r="O20" s="267">
        <v>185</v>
      </c>
    </row>
    <row r="21" spans="1:15" ht="16.5" customHeight="1" thickBot="1">
      <c r="A21" s="269" t="s">
        <v>176</v>
      </c>
      <c r="B21" s="833" t="s">
        <v>305</v>
      </c>
      <c r="C21" s="848"/>
      <c r="D21" s="849"/>
      <c r="E21" s="849"/>
      <c r="F21" s="849"/>
      <c r="G21" s="849"/>
      <c r="H21" s="849"/>
      <c r="I21" s="852"/>
      <c r="J21" s="852"/>
      <c r="K21" s="852"/>
      <c r="L21" s="853"/>
      <c r="M21" s="271">
        <v>149</v>
      </c>
      <c r="N21" s="272">
        <v>82</v>
      </c>
      <c r="O21" s="273">
        <v>77</v>
      </c>
    </row>
    <row r="22" spans="1:15" ht="18.75" thickBot="1">
      <c r="A22" s="97" t="s">
        <v>23</v>
      </c>
      <c r="B22" s="830"/>
      <c r="C22" s="372">
        <f>SUM(C4:C21)</f>
        <v>320</v>
      </c>
      <c r="D22" s="373">
        <f>SUM(D4:D21)</f>
        <v>474</v>
      </c>
      <c r="E22" s="373">
        <f>SUM(E4:E21)</f>
        <v>564</v>
      </c>
      <c r="F22" s="373">
        <f>SUM(F4:F21)</f>
        <v>518</v>
      </c>
      <c r="G22" s="373">
        <f>G4+G5+G6+G7+G8+G9+G10+G11+G12+G13+G14+G15</f>
        <v>508</v>
      </c>
      <c r="H22" s="374">
        <f t="shared" ref="H22:O22" si="0">SUM(H4:H21)</f>
        <v>467</v>
      </c>
      <c r="I22" s="98">
        <f t="shared" si="0"/>
        <v>642</v>
      </c>
      <c r="J22" s="98">
        <f t="shared" si="0"/>
        <v>514</v>
      </c>
      <c r="K22" s="98">
        <f t="shared" si="0"/>
        <v>369</v>
      </c>
      <c r="L22" s="98">
        <f t="shared" si="0"/>
        <v>389</v>
      </c>
      <c r="M22" s="98">
        <f t="shared" si="0"/>
        <v>324</v>
      </c>
      <c r="N22" s="276">
        <f t="shared" si="0"/>
        <v>241</v>
      </c>
      <c r="O22" s="274">
        <f t="shared" si="0"/>
        <v>262</v>
      </c>
    </row>
  </sheetData>
  <mergeCells count="4">
    <mergeCell ref="M1:O2"/>
    <mergeCell ref="A1:A3"/>
    <mergeCell ref="C1:H2"/>
    <mergeCell ref="I1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30"/>
  <sheetViews>
    <sheetView topLeftCell="A8" workbookViewId="0">
      <selection activeCell="O29" sqref="O29"/>
    </sheetView>
  </sheetViews>
  <sheetFormatPr baseColWidth="10" defaultRowHeight="15"/>
  <cols>
    <col min="1" max="1" width="24" customWidth="1"/>
    <col min="2" max="2" width="11.42578125" style="12"/>
  </cols>
  <sheetData>
    <row r="1" spans="1:15" ht="15.75">
      <c r="A1" s="280" t="s">
        <v>3</v>
      </c>
      <c r="B1" s="201"/>
      <c r="C1" s="281" t="s">
        <v>6</v>
      </c>
      <c r="D1" s="282"/>
      <c r="E1" s="282"/>
      <c r="F1" s="282"/>
      <c r="G1" s="282"/>
      <c r="H1" s="282"/>
      <c r="I1" s="284" t="s">
        <v>7</v>
      </c>
      <c r="J1" s="285"/>
      <c r="K1" s="285"/>
      <c r="L1" s="285"/>
      <c r="M1" s="287" t="s">
        <v>8</v>
      </c>
      <c r="N1" s="288"/>
      <c r="O1" s="288"/>
    </row>
    <row r="2" spans="1:15" ht="16.5" thickBot="1">
      <c r="A2" s="291"/>
      <c r="B2" s="815"/>
      <c r="C2" s="358"/>
      <c r="D2" s="359"/>
      <c r="E2" s="359"/>
      <c r="F2" s="359"/>
      <c r="G2" s="359"/>
      <c r="H2" s="359"/>
      <c r="I2" s="293"/>
      <c r="J2" s="294"/>
      <c r="K2" s="294"/>
      <c r="L2" s="294"/>
      <c r="M2" s="296"/>
      <c r="N2" s="297"/>
      <c r="O2" s="297"/>
    </row>
    <row r="3" spans="1:15" ht="16.5" thickBot="1">
      <c r="A3" s="221"/>
      <c r="B3" s="99"/>
      <c r="C3" s="360" t="s">
        <v>10</v>
      </c>
      <c r="D3" s="360" t="s">
        <v>11</v>
      </c>
      <c r="E3" s="360" t="s">
        <v>12</v>
      </c>
      <c r="F3" s="360" t="s">
        <v>13</v>
      </c>
      <c r="G3" s="360" t="s">
        <v>14</v>
      </c>
      <c r="H3" s="360" t="s">
        <v>15</v>
      </c>
      <c r="I3" s="300" t="s">
        <v>11</v>
      </c>
      <c r="J3" s="300" t="s">
        <v>12</v>
      </c>
      <c r="K3" s="300" t="s">
        <v>13</v>
      </c>
      <c r="L3" s="301" t="s">
        <v>14</v>
      </c>
      <c r="M3" s="303" t="s">
        <v>11</v>
      </c>
      <c r="N3" s="301" t="s">
        <v>12</v>
      </c>
      <c r="O3" s="300" t="s">
        <v>13</v>
      </c>
    </row>
    <row r="4" spans="1:15" ht="15.75">
      <c r="A4" s="354" t="s">
        <v>178</v>
      </c>
      <c r="B4" s="810" t="s">
        <v>303</v>
      </c>
      <c r="C4" s="187">
        <v>45</v>
      </c>
      <c r="D4" s="187">
        <v>35</v>
      </c>
      <c r="E4" s="187">
        <v>40</v>
      </c>
      <c r="F4" s="187">
        <v>47</v>
      </c>
      <c r="G4" s="187">
        <v>37</v>
      </c>
      <c r="H4" s="187">
        <v>40</v>
      </c>
      <c r="I4" s="788"/>
      <c r="J4" s="79"/>
      <c r="K4" s="79"/>
      <c r="L4" s="79"/>
      <c r="M4" s="79"/>
      <c r="N4" s="79"/>
      <c r="O4" s="79"/>
    </row>
    <row r="5" spans="1:15" ht="15.75">
      <c r="A5" s="355" t="s">
        <v>179</v>
      </c>
      <c r="B5" s="810" t="s">
        <v>303</v>
      </c>
      <c r="C5" s="187">
        <v>0</v>
      </c>
      <c r="D5" s="187">
        <v>8</v>
      </c>
      <c r="E5" s="187">
        <v>20</v>
      </c>
      <c r="F5" s="187">
        <v>15</v>
      </c>
      <c r="G5" s="187">
        <v>27</v>
      </c>
      <c r="H5" s="187">
        <v>13</v>
      </c>
      <c r="I5" s="788"/>
      <c r="J5" s="79"/>
      <c r="K5" s="79"/>
      <c r="L5" s="79"/>
      <c r="M5" s="79"/>
      <c r="N5" s="79"/>
      <c r="O5" s="79"/>
    </row>
    <row r="6" spans="1:15" ht="15.75">
      <c r="A6" s="355" t="s">
        <v>180</v>
      </c>
      <c r="B6" s="810" t="s">
        <v>303</v>
      </c>
      <c r="C6" s="187">
        <v>0</v>
      </c>
      <c r="D6" s="187">
        <v>15</v>
      </c>
      <c r="E6" s="187">
        <v>17</v>
      </c>
      <c r="F6" s="187">
        <v>21</v>
      </c>
      <c r="G6" s="187">
        <v>22</v>
      </c>
      <c r="H6" s="187">
        <v>14</v>
      </c>
      <c r="I6" s="788"/>
      <c r="J6" s="79"/>
      <c r="K6" s="79"/>
      <c r="L6" s="79"/>
      <c r="M6" s="79"/>
      <c r="N6" s="79"/>
      <c r="O6" s="79"/>
    </row>
    <row r="7" spans="1:15" ht="15.75">
      <c r="A7" s="355" t="s">
        <v>181</v>
      </c>
      <c r="B7" s="810" t="s">
        <v>303</v>
      </c>
      <c r="C7" s="187">
        <v>0</v>
      </c>
      <c r="D7" s="187">
        <v>20</v>
      </c>
      <c r="E7" s="187">
        <v>19</v>
      </c>
      <c r="F7" s="187">
        <v>12</v>
      </c>
      <c r="G7" s="187">
        <v>14</v>
      </c>
      <c r="H7" s="187">
        <v>13</v>
      </c>
      <c r="I7" s="788"/>
      <c r="J7" s="79"/>
      <c r="K7" s="79"/>
      <c r="L7" s="79"/>
      <c r="M7" s="79"/>
      <c r="N7" s="79"/>
      <c r="O7" s="79"/>
    </row>
    <row r="8" spans="1:15" ht="15.75">
      <c r="A8" s="355" t="s">
        <v>182</v>
      </c>
      <c r="B8" s="810" t="s">
        <v>303</v>
      </c>
      <c r="C8" s="187">
        <v>0</v>
      </c>
      <c r="D8" s="187">
        <v>4</v>
      </c>
      <c r="E8" s="187">
        <v>12</v>
      </c>
      <c r="F8" s="187">
        <v>15</v>
      </c>
      <c r="G8" s="187">
        <v>10</v>
      </c>
      <c r="H8" s="187">
        <v>20</v>
      </c>
      <c r="I8" s="788"/>
      <c r="J8" s="79"/>
      <c r="K8" s="79"/>
      <c r="L8" s="79"/>
      <c r="M8" s="79"/>
      <c r="N8" s="79"/>
      <c r="O8" s="79"/>
    </row>
    <row r="9" spans="1:15" ht="15.75">
      <c r="A9" s="355" t="s">
        <v>183</v>
      </c>
      <c r="B9" s="810" t="s">
        <v>303</v>
      </c>
      <c r="C9" s="187">
        <v>0</v>
      </c>
      <c r="D9" s="187">
        <v>18</v>
      </c>
      <c r="E9" s="187">
        <v>12</v>
      </c>
      <c r="F9" s="187">
        <v>14</v>
      </c>
      <c r="G9" s="187">
        <v>14</v>
      </c>
      <c r="H9" s="187">
        <v>12</v>
      </c>
      <c r="I9" s="788"/>
      <c r="J9" s="79"/>
      <c r="K9" s="79"/>
      <c r="L9" s="79"/>
      <c r="M9" s="79"/>
      <c r="N9" s="79"/>
      <c r="O9" s="79"/>
    </row>
    <row r="10" spans="1:15" ht="15.75">
      <c r="A10" s="355" t="s">
        <v>184</v>
      </c>
      <c r="B10" s="810" t="s">
        <v>303</v>
      </c>
      <c r="C10" s="187">
        <v>0</v>
      </c>
      <c r="D10" s="187">
        <v>11</v>
      </c>
      <c r="E10" s="187">
        <v>20</v>
      </c>
      <c r="F10" s="187">
        <v>15</v>
      </c>
      <c r="G10" s="187">
        <v>14</v>
      </c>
      <c r="H10" s="187">
        <v>22</v>
      </c>
      <c r="I10" s="788"/>
      <c r="J10" s="79"/>
      <c r="K10" s="79"/>
      <c r="L10" s="79"/>
      <c r="M10" s="79"/>
      <c r="N10" s="79"/>
      <c r="O10" s="79"/>
    </row>
    <row r="11" spans="1:15" ht="15.75">
      <c r="A11" s="355" t="s">
        <v>185</v>
      </c>
      <c r="B11" s="810" t="s">
        <v>303</v>
      </c>
      <c r="C11" s="187">
        <v>0</v>
      </c>
      <c r="D11" s="187">
        <v>8</v>
      </c>
      <c r="E11" s="187">
        <v>6</v>
      </c>
      <c r="F11" s="187">
        <v>5</v>
      </c>
      <c r="G11" s="187">
        <v>8</v>
      </c>
      <c r="H11" s="187">
        <v>3</v>
      </c>
      <c r="I11" s="788"/>
      <c r="J11" s="79"/>
      <c r="K11" s="79"/>
      <c r="L11" s="79"/>
      <c r="M11" s="79"/>
      <c r="N11" s="79"/>
      <c r="O11" s="79"/>
    </row>
    <row r="12" spans="1:15" ht="15.75">
      <c r="A12" s="355" t="s">
        <v>186</v>
      </c>
      <c r="B12" s="810" t="s">
        <v>303</v>
      </c>
      <c r="C12" s="187">
        <v>0</v>
      </c>
      <c r="D12" s="187">
        <v>10</v>
      </c>
      <c r="E12" s="187">
        <v>9</v>
      </c>
      <c r="F12" s="187">
        <v>10</v>
      </c>
      <c r="G12" s="187">
        <v>9</v>
      </c>
      <c r="H12" s="187">
        <v>8</v>
      </c>
      <c r="I12" s="788"/>
      <c r="J12" s="79"/>
      <c r="K12" s="79"/>
      <c r="L12" s="79"/>
      <c r="M12" s="79"/>
      <c r="N12" s="79"/>
      <c r="O12" s="79"/>
    </row>
    <row r="13" spans="1:15" ht="15.75">
      <c r="A13" s="355" t="s">
        <v>187</v>
      </c>
      <c r="B13" s="810" t="s">
        <v>303</v>
      </c>
      <c r="C13" s="187">
        <v>8</v>
      </c>
      <c r="D13" s="187">
        <v>30</v>
      </c>
      <c r="E13" s="187">
        <v>25</v>
      </c>
      <c r="F13" s="187">
        <v>33</v>
      </c>
      <c r="G13" s="187">
        <v>38</v>
      </c>
      <c r="H13" s="187">
        <v>29</v>
      </c>
      <c r="I13" s="788"/>
      <c r="J13" s="79"/>
      <c r="K13" s="79"/>
      <c r="L13" s="79"/>
      <c r="M13" s="79"/>
      <c r="N13" s="79"/>
      <c r="O13" s="79"/>
    </row>
    <row r="14" spans="1:15" ht="15.75">
      <c r="A14" s="355" t="s">
        <v>188</v>
      </c>
      <c r="B14" s="810" t="s">
        <v>303</v>
      </c>
      <c r="C14" s="187">
        <v>0</v>
      </c>
      <c r="D14" s="187">
        <v>14</v>
      </c>
      <c r="E14" s="187">
        <v>37</v>
      </c>
      <c r="F14" s="187">
        <v>29</v>
      </c>
      <c r="G14" s="187">
        <v>24</v>
      </c>
      <c r="H14" s="187">
        <v>21</v>
      </c>
      <c r="I14" s="788"/>
      <c r="J14" s="79"/>
      <c r="K14" s="79"/>
      <c r="L14" s="79"/>
      <c r="M14" s="79"/>
      <c r="N14" s="79"/>
      <c r="O14" s="79"/>
    </row>
    <row r="15" spans="1:15" ht="15.75">
      <c r="A15" s="355" t="s">
        <v>189</v>
      </c>
      <c r="B15" s="810" t="s">
        <v>303</v>
      </c>
      <c r="C15" s="187">
        <v>0</v>
      </c>
      <c r="D15" s="187">
        <v>23</v>
      </c>
      <c r="E15" s="187">
        <v>40</v>
      </c>
      <c r="F15" s="187">
        <v>51</v>
      </c>
      <c r="G15" s="187">
        <v>43</v>
      </c>
      <c r="H15" s="187">
        <v>44</v>
      </c>
      <c r="I15" s="788"/>
      <c r="J15" s="79"/>
      <c r="K15" s="79"/>
      <c r="L15" s="79"/>
      <c r="M15" s="79"/>
      <c r="N15" s="79"/>
      <c r="O15" s="79"/>
    </row>
    <row r="16" spans="1:15" ht="15.75">
      <c r="A16" s="355" t="s">
        <v>190</v>
      </c>
      <c r="B16" s="810" t="s">
        <v>303</v>
      </c>
      <c r="C16" s="187">
        <v>0</v>
      </c>
      <c r="D16" s="187">
        <v>15</v>
      </c>
      <c r="E16" s="187">
        <v>14</v>
      </c>
      <c r="F16" s="187">
        <v>8</v>
      </c>
      <c r="G16" s="187">
        <v>15</v>
      </c>
      <c r="H16" s="187">
        <v>15</v>
      </c>
      <c r="I16" s="788"/>
      <c r="J16" s="79"/>
      <c r="K16" s="79"/>
      <c r="L16" s="79"/>
      <c r="M16" s="79"/>
      <c r="N16" s="79"/>
      <c r="O16" s="79"/>
    </row>
    <row r="17" spans="1:15" ht="15.75">
      <c r="A17" s="355" t="s">
        <v>191</v>
      </c>
      <c r="B17" s="810" t="s">
        <v>303</v>
      </c>
      <c r="C17" s="187">
        <v>6</v>
      </c>
      <c r="D17" s="187">
        <v>19</v>
      </c>
      <c r="E17" s="187">
        <v>26</v>
      </c>
      <c r="F17" s="187">
        <v>32</v>
      </c>
      <c r="G17" s="187">
        <v>34</v>
      </c>
      <c r="H17" s="187">
        <v>30</v>
      </c>
      <c r="I17" s="788"/>
      <c r="J17" s="79"/>
      <c r="K17" s="79"/>
      <c r="L17" s="79"/>
      <c r="M17" s="79"/>
      <c r="N17" s="79"/>
      <c r="O17" s="79"/>
    </row>
    <row r="18" spans="1:15" ht="15.75">
      <c r="A18" s="355" t="s">
        <v>192</v>
      </c>
      <c r="B18" s="810" t="s">
        <v>303</v>
      </c>
      <c r="C18" s="187">
        <v>0</v>
      </c>
      <c r="D18" s="187">
        <v>8</v>
      </c>
      <c r="E18" s="187">
        <v>4</v>
      </c>
      <c r="F18" s="187">
        <v>10</v>
      </c>
      <c r="G18" s="187">
        <v>6</v>
      </c>
      <c r="H18" s="187">
        <v>8</v>
      </c>
      <c r="I18" s="788"/>
      <c r="J18" s="79"/>
      <c r="K18" s="79"/>
      <c r="L18" s="79"/>
      <c r="M18" s="79"/>
      <c r="N18" s="79"/>
      <c r="O18" s="79"/>
    </row>
    <row r="19" spans="1:15" ht="15.75">
      <c r="A19" s="355" t="s">
        <v>193</v>
      </c>
      <c r="B19" s="810" t="s">
        <v>303</v>
      </c>
      <c r="C19" s="187">
        <v>32</v>
      </c>
      <c r="D19" s="187">
        <v>40</v>
      </c>
      <c r="E19" s="187">
        <v>36</v>
      </c>
      <c r="F19" s="187">
        <v>43</v>
      </c>
      <c r="G19" s="187">
        <v>31</v>
      </c>
      <c r="H19" s="187">
        <v>47</v>
      </c>
      <c r="I19" s="788"/>
      <c r="J19" s="79"/>
      <c r="K19" s="79"/>
      <c r="L19" s="79"/>
      <c r="M19" s="79"/>
      <c r="N19" s="79"/>
      <c r="O19" s="79"/>
    </row>
    <row r="20" spans="1:15" ht="16.5" thickBot="1">
      <c r="A20" s="356" t="s">
        <v>194</v>
      </c>
      <c r="B20" s="810" t="s">
        <v>303</v>
      </c>
      <c r="C20" s="187">
        <v>32</v>
      </c>
      <c r="D20" s="187">
        <v>70</v>
      </c>
      <c r="E20" s="187">
        <v>72</v>
      </c>
      <c r="F20" s="187">
        <v>76</v>
      </c>
      <c r="G20" s="187">
        <v>57</v>
      </c>
      <c r="H20" s="187">
        <v>57</v>
      </c>
      <c r="I20" s="79"/>
      <c r="J20" s="79"/>
      <c r="K20" s="79"/>
      <c r="L20" s="79"/>
      <c r="M20" s="79"/>
      <c r="N20" s="79"/>
      <c r="O20" s="79"/>
    </row>
    <row r="21" spans="1:15" ht="15.75">
      <c r="A21" s="354" t="s">
        <v>177</v>
      </c>
      <c r="B21" s="810" t="s">
        <v>303</v>
      </c>
      <c r="C21" s="187">
        <v>0</v>
      </c>
      <c r="D21" s="187">
        <v>20</v>
      </c>
      <c r="E21" s="187">
        <v>19</v>
      </c>
      <c r="F21" s="187">
        <v>11</v>
      </c>
      <c r="G21" s="187">
        <v>16</v>
      </c>
      <c r="H21" s="187">
        <v>12</v>
      </c>
      <c r="I21" s="79"/>
      <c r="J21" s="79"/>
      <c r="K21" s="79"/>
      <c r="L21" s="79"/>
      <c r="M21" s="79"/>
      <c r="N21" s="79"/>
      <c r="O21" s="79"/>
    </row>
    <row r="22" spans="1:15" ht="15.75">
      <c r="A22" s="352" t="s">
        <v>195</v>
      </c>
      <c r="B22" s="810" t="s">
        <v>303</v>
      </c>
      <c r="C22" s="187">
        <v>0</v>
      </c>
      <c r="D22" s="187">
        <v>7</v>
      </c>
      <c r="E22" s="187">
        <v>23</v>
      </c>
      <c r="F22" s="187">
        <v>25</v>
      </c>
      <c r="G22" s="187">
        <v>21</v>
      </c>
      <c r="H22" s="187">
        <v>16</v>
      </c>
      <c r="I22" s="79"/>
      <c r="J22" s="79"/>
      <c r="K22" s="79"/>
      <c r="L22" s="79"/>
      <c r="M22" s="79"/>
      <c r="N22" s="79"/>
      <c r="O22" s="79"/>
    </row>
    <row r="23" spans="1:15" ht="15.75">
      <c r="A23" s="353" t="s">
        <v>272</v>
      </c>
      <c r="B23" s="810" t="s">
        <v>303</v>
      </c>
      <c r="C23" s="187">
        <v>0</v>
      </c>
      <c r="D23" s="187">
        <v>8</v>
      </c>
      <c r="E23" s="187">
        <v>8</v>
      </c>
      <c r="F23" s="187">
        <v>9</v>
      </c>
      <c r="G23" s="187">
        <v>8</v>
      </c>
      <c r="H23" s="187">
        <v>0</v>
      </c>
      <c r="I23" s="79"/>
      <c r="J23" s="79"/>
      <c r="K23" s="79"/>
      <c r="L23" s="79"/>
      <c r="M23" s="79"/>
      <c r="N23" s="79"/>
      <c r="O23" s="79"/>
    </row>
    <row r="24" spans="1:15" ht="15.75">
      <c r="A24" s="353" t="s">
        <v>273</v>
      </c>
      <c r="B24" s="810" t="s">
        <v>303</v>
      </c>
      <c r="C24" s="187">
        <v>0</v>
      </c>
      <c r="D24" s="187">
        <v>10</v>
      </c>
      <c r="E24" s="187">
        <v>2</v>
      </c>
      <c r="F24" s="187">
        <v>2</v>
      </c>
      <c r="G24" s="187">
        <v>0</v>
      </c>
      <c r="H24" s="187">
        <v>0</v>
      </c>
      <c r="I24" s="79"/>
      <c r="J24" s="79"/>
      <c r="K24" s="79"/>
      <c r="L24" s="79"/>
      <c r="M24" s="79"/>
      <c r="N24" s="79"/>
      <c r="O24" s="79"/>
    </row>
    <row r="25" spans="1:15" ht="16.5" thickBot="1">
      <c r="A25" s="353" t="s">
        <v>274</v>
      </c>
      <c r="B25" s="810" t="s">
        <v>303</v>
      </c>
      <c r="C25" s="187">
        <v>26</v>
      </c>
      <c r="D25" s="187">
        <v>41</v>
      </c>
      <c r="E25" s="187">
        <v>41</v>
      </c>
      <c r="F25" s="187">
        <v>22</v>
      </c>
      <c r="G25" s="187">
        <v>30</v>
      </c>
      <c r="H25" s="187">
        <v>28</v>
      </c>
      <c r="I25" s="79"/>
      <c r="J25" s="79"/>
      <c r="K25" s="79"/>
      <c r="L25" s="79"/>
      <c r="M25" s="79"/>
      <c r="N25" s="79"/>
      <c r="O25" s="79"/>
    </row>
    <row r="26" spans="1:15" ht="16.5" thickBot="1">
      <c r="A26" s="309" t="s">
        <v>243</v>
      </c>
      <c r="B26" s="835" t="s">
        <v>304</v>
      </c>
      <c r="C26" s="279"/>
      <c r="D26" s="279"/>
      <c r="E26" s="279"/>
      <c r="F26" s="279"/>
      <c r="G26" s="279"/>
      <c r="H26" s="279"/>
      <c r="I26" s="310">
        <v>209</v>
      </c>
      <c r="J26" s="311">
        <v>160</v>
      </c>
      <c r="K26" s="312">
        <v>99</v>
      </c>
      <c r="L26" s="313">
        <v>0</v>
      </c>
      <c r="M26" s="79"/>
      <c r="N26" s="79"/>
      <c r="O26" s="79"/>
    </row>
    <row r="27" spans="1:15" ht="16.5" thickBot="1">
      <c r="A27" s="315" t="s">
        <v>196</v>
      </c>
      <c r="B27" s="836" t="s">
        <v>304</v>
      </c>
      <c r="C27" s="79"/>
      <c r="D27" s="79"/>
      <c r="E27" s="79"/>
      <c r="F27" s="79"/>
      <c r="G27" s="79"/>
      <c r="H27" s="79"/>
      <c r="I27" s="316">
        <v>181</v>
      </c>
      <c r="J27" s="317">
        <v>111</v>
      </c>
      <c r="K27" s="318">
        <v>71</v>
      </c>
      <c r="L27" s="318">
        <v>66</v>
      </c>
      <c r="M27" s="788"/>
      <c r="N27" s="79"/>
      <c r="O27" s="79"/>
    </row>
    <row r="28" spans="1:15" ht="16.5" thickBot="1">
      <c r="A28" s="320" t="s">
        <v>197</v>
      </c>
      <c r="B28" s="835" t="s">
        <v>304</v>
      </c>
      <c r="C28" s="79"/>
      <c r="D28" s="79"/>
      <c r="E28" s="79"/>
      <c r="F28" s="79"/>
      <c r="G28" s="79"/>
      <c r="H28" s="79"/>
      <c r="I28" s="310">
        <v>211</v>
      </c>
      <c r="J28" s="311">
        <v>191</v>
      </c>
      <c r="K28" s="311">
        <v>115</v>
      </c>
      <c r="L28" s="314">
        <v>135</v>
      </c>
      <c r="M28" s="788"/>
      <c r="N28" s="79"/>
      <c r="O28" s="79"/>
    </row>
    <row r="29" spans="1:15" ht="16.5" thickBot="1">
      <c r="A29" s="323" t="s">
        <v>198</v>
      </c>
      <c r="B29" s="837" t="s">
        <v>305</v>
      </c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137">
        <v>127</v>
      </c>
      <c r="N29" s="134">
        <v>152</v>
      </c>
      <c r="O29" s="134">
        <v>144</v>
      </c>
    </row>
    <row r="30" spans="1:15" ht="16.5" thickBot="1">
      <c r="A30" s="135" t="s">
        <v>23</v>
      </c>
      <c r="B30" s="834"/>
      <c r="C30" s="325">
        <f>C4+C5+C6+C7+C8+C9+C10+C11+C12+C14+C15+C16+C17+C18+C19+C20+C21+C22</f>
        <v>115</v>
      </c>
      <c r="D30" s="325">
        <f t="shared" ref="D30:H30" si="0">D4+D5+D6+D7+D8+D9+D10+D11+D12+D14+D15+D16+D17+D18+D19+D20+D21+D22</f>
        <v>345</v>
      </c>
      <c r="E30" s="325">
        <f t="shared" si="0"/>
        <v>426</v>
      </c>
      <c r="F30" s="325">
        <f t="shared" si="0"/>
        <v>439</v>
      </c>
      <c r="G30" s="325">
        <f t="shared" si="0"/>
        <v>402</v>
      </c>
      <c r="H30" s="325">
        <f t="shared" si="0"/>
        <v>395</v>
      </c>
      <c r="I30" s="325">
        <f>I26+I27+I28</f>
        <v>601</v>
      </c>
      <c r="J30" s="325">
        <f t="shared" ref="J30:L30" si="1">J26+J27+J28</f>
        <v>462</v>
      </c>
      <c r="K30" s="325">
        <f t="shared" si="1"/>
        <v>285</v>
      </c>
      <c r="L30" s="325">
        <f t="shared" si="1"/>
        <v>201</v>
      </c>
      <c r="M30" s="325">
        <f>M29</f>
        <v>127</v>
      </c>
      <c r="N30" s="325">
        <f t="shared" ref="N30:O30" si="2">N29</f>
        <v>152</v>
      </c>
      <c r="O30" s="325">
        <f t="shared" si="2"/>
        <v>144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13"/>
  <sheetViews>
    <sheetView workbookViewId="0">
      <selection activeCell="O12" sqref="O12"/>
    </sheetView>
  </sheetViews>
  <sheetFormatPr baseColWidth="10" defaultRowHeight="15"/>
  <cols>
    <col min="1" max="1" width="23.5703125" customWidth="1"/>
    <col min="2" max="2" width="11.42578125" style="12"/>
  </cols>
  <sheetData>
    <row r="1" spans="1:15" ht="15.75">
      <c r="A1" s="866" t="s">
        <v>3</v>
      </c>
      <c r="B1" s="201"/>
      <c r="C1" s="981" t="s">
        <v>6</v>
      </c>
      <c r="D1" s="982"/>
      <c r="E1" s="982"/>
      <c r="F1" s="982"/>
      <c r="G1" s="982"/>
      <c r="H1" s="982"/>
      <c r="I1" s="987" t="s">
        <v>7</v>
      </c>
      <c r="J1" s="988"/>
      <c r="K1" s="988"/>
      <c r="L1" s="988"/>
      <c r="M1" s="908" t="s">
        <v>8</v>
      </c>
      <c r="N1" s="993"/>
      <c r="O1" s="993"/>
    </row>
    <row r="2" spans="1:15" ht="16.5" thickBot="1">
      <c r="A2" s="867"/>
      <c r="B2" s="815"/>
      <c r="C2" s="984"/>
      <c r="D2" s="985"/>
      <c r="E2" s="985"/>
      <c r="F2" s="985"/>
      <c r="G2" s="985"/>
      <c r="H2" s="985"/>
      <c r="I2" s="990"/>
      <c r="J2" s="991"/>
      <c r="K2" s="991"/>
      <c r="L2" s="991"/>
      <c r="M2" s="910"/>
      <c r="N2" s="994"/>
      <c r="O2" s="994"/>
    </row>
    <row r="3" spans="1:15" ht="16.5" thickBot="1">
      <c r="A3" s="868"/>
      <c r="B3" s="838"/>
      <c r="C3" s="114" t="s">
        <v>10</v>
      </c>
      <c r="D3" s="115" t="s">
        <v>11</v>
      </c>
      <c r="E3" s="115" t="s">
        <v>12</v>
      </c>
      <c r="F3" s="115" t="s">
        <v>13</v>
      </c>
      <c r="G3" s="115" t="s">
        <v>14</v>
      </c>
      <c r="H3" s="116" t="s">
        <v>15</v>
      </c>
      <c r="I3" s="118" t="s">
        <v>11</v>
      </c>
      <c r="J3" s="780" t="s">
        <v>12</v>
      </c>
      <c r="K3" s="780" t="s">
        <v>13</v>
      </c>
      <c r="L3" s="779" t="s">
        <v>14</v>
      </c>
      <c r="M3" s="118" t="s">
        <v>11</v>
      </c>
      <c r="N3" s="779" t="s">
        <v>12</v>
      </c>
      <c r="O3" s="780" t="s">
        <v>13</v>
      </c>
    </row>
    <row r="4" spans="1:15" ht="16.5" thickBot="1">
      <c r="A4" s="70" t="s">
        <v>199</v>
      </c>
      <c r="B4" s="809" t="s">
        <v>303</v>
      </c>
      <c r="C4" s="93">
        <v>18</v>
      </c>
      <c r="D4" s="184">
        <v>15</v>
      </c>
      <c r="E4" s="184">
        <v>31</v>
      </c>
      <c r="F4" s="184">
        <v>30</v>
      </c>
      <c r="G4" s="184">
        <v>35</v>
      </c>
      <c r="H4" s="144">
        <v>24</v>
      </c>
      <c r="I4" s="73"/>
      <c r="J4" s="73"/>
      <c r="K4" s="73"/>
      <c r="L4" s="73"/>
      <c r="M4" s="73"/>
      <c r="N4" s="73"/>
      <c r="O4" s="74"/>
    </row>
    <row r="5" spans="1:15" ht="16.5" thickBot="1">
      <c r="A5" s="77" t="s">
        <v>200</v>
      </c>
      <c r="B5" s="809" t="s">
        <v>303</v>
      </c>
      <c r="C5" s="93">
        <v>0</v>
      </c>
      <c r="D5" s="184">
        <v>12</v>
      </c>
      <c r="E5" s="184">
        <v>8</v>
      </c>
      <c r="F5" s="184">
        <v>12</v>
      </c>
      <c r="G5" s="184">
        <v>15</v>
      </c>
      <c r="H5" s="144">
        <v>13</v>
      </c>
      <c r="I5" s="79"/>
      <c r="J5" s="79"/>
      <c r="K5" s="79"/>
      <c r="L5" s="79"/>
      <c r="M5" s="79"/>
      <c r="N5" s="79"/>
      <c r="O5" s="80"/>
    </row>
    <row r="6" spans="1:15" ht="16.5" thickBot="1">
      <c r="A6" s="77" t="s">
        <v>201</v>
      </c>
      <c r="B6" s="809" t="s">
        <v>303</v>
      </c>
      <c r="C6" s="93">
        <v>0</v>
      </c>
      <c r="D6" s="184">
        <v>5</v>
      </c>
      <c r="E6" s="184">
        <v>21</v>
      </c>
      <c r="F6" s="184">
        <v>16</v>
      </c>
      <c r="G6" s="184">
        <v>13</v>
      </c>
      <c r="H6" s="144">
        <v>13</v>
      </c>
      <c r="I6" s="79"/>
      <c r="J6" s="79"/>
      <c r="K6" s="79"/>
      <c r="L6" s="79"/>
      <c r="M6" s="79"/>
      <c r="N6" s="79"/>
      <c r="O6" s="80"/>
    </row>
    <row r="7" spans="1:15" ht="16.5" thickBot="1">
      <c r="A7" s="77" t="s">
        <v>202</v>
      </c>
      <c r="B7" s="809" t="s">
        <v>303</v>
      </c>
      <c r="C7" s="93">
        <v>0</v>
      </c>
      <c r="D7" s="184">
        <v>4</v>
      </c>
      <c r="E7" s="184">
        <v>11</v>
      </c>
      <c r="F7" s="184">
        <v>12</v>
      </c>
      <c r="G7" s="184">
        <v>9</v>
      </c>
      <c r="H7" s="144">
        <v>9</v>
      </c>
      <c r="I7" s="79"/>
      <c r="J7" s="79"/>
      <c r="K7" s="79"/>
      <c r="L7" s="79"/>
      <c r="M7" s="79"/>
      <c r="N7" s="79"/>
      <c r="O7" s="80"/>
    </row>
    <row r="8" spans="1:15" ht="16.5" thickBot="1">
      <c r="A8" s="126" t="s">
        <v>32</v>
      </c>
      <c r="B8" s="809" t="s">
        <v>303</v>
      </c>
      <c r="C8" s="93">
        <v>25</v>
      </c>
      <c r="D8" s="184">
        <v>27</v>
      </c>
      <c r="E8" s="184">
        <v>32</v>
      </c>
      <c r="F8" s="184">
        <v>28</v>
      </c>
      <c r="G8" s="184">
        <v>24</v>
      </c>
      <c r="H8" s="144">
        <v>0</v>
      </c>
      <c r="I8" s="79"/>
      <c r="J8" s="79"/>
      <c r="K8" s="79"/>
      <c r="L8" s="79"/>
      <c r="M8" s="79"/>
      <c r="N8" s="79"/>
      <c r="O8" s="80"/>
    </row>
    <row r="9" spans="1:15" ht="16.5" thickBot="1">
      <c r="A9" s="77" t="s">
        <v>241</v>
      </c>
      <c r="B9" s="809" t="s">
        <v>303</v>
      </c>
      <c r="C9" s="93">
        <v>0</v>
      </c>
      <c r="D9" s="184">
        <v>3</v>
      </c>
      <c r="E9" s="184">
        <v>6</v>
      </c>
      <c r="F9" s="184">
        <v>5</v>
      </c>
      <c r="G9" s="184">
        <v>4</v>
      </c>
      <c r="H9" s="144">
        <v>4</v>
      </c>
      <c r="I9" s="79"/>
      <c r="J9" s="79"/>
      <c r="K9" s="79"/>
      <c r="L9" s="79"/>
      <c r="M9" s="79"/>
      <c r="N9" s="79"/>
      <c r="O9" s="80"/>
    </row>
    <row r="10" spans="1:15" ht="16.5" thickBot="1">
      <c r="A10" s="252" t="s">
        <v>271</v>
      </c>
      <c r="B10" s="809" t="s">
        <v>303</v>
      </c>
      <c r="C10" s="129">
        <v>0</v>
      </c>
      <c r="D10" s="330">
        <v>15</v>
      </c>
      <c r="E10" s="330">
        <v>9</v>
      </c>
      <c r="F10" s="330">
        <v>10</v>
      </c>
      <c r="G10" s="330">
        <v>6</v>
      </c>
      <c r="H10" s="151">
        <v>10</v>
      </c>
      <c r="I10" s="79"/>
      <c r="J10" s="79"/>
      <c r="K10" s="79"/>
      <c r="L10" s="79"/>
      <c r="M10" s="79"/>
      <c r="N10" s="79"/>
      <c r="O10" s="80"/>
    </row>
    <row r="11" spans="1:15" ht="16.5" thickBot="1">
      <c r="A11" s="128" t="s">
        <v>283</v>
      </c>
      <c r="B11" s="809" t="s">
        <v>303</v>
      </c>
      <c r="C11" s="139">
        <v>29</v>
      </c>
      <c r="D11" s="331">
        <v>31</v>
      </c>
      <c r="E11" s="331">
        <v>37</v>
      </c>
      <c r="F11" s="331">
        <v>46</v>
      </c>
      <c r="G11" s="331">
        <v>45</v>
      </c>
      <c r="H11" s="332">
        <v>49</v>
      </c>
      <c r="I11" s="79"/>
      <c r="J11" s="79"/>
      <c r="K11" s="79"/>
      <c r="L11" s="79"/>
      <c r="M11" s="79"/>
      <c r="N11" s="79"/>
      <c r="O11" s="80"/>
    </row>
    <row r="12" spans="1:15" ht="16.5" thickBot="1">
      <c r="A12" s="333" t="s">
        <v>203</v>
      </c>
      <c r="B12" s="839" t="s">
        <v>304</v>
      </c>
      <c r="C12" s="334"/>
      <c r="D12" s="334"/>
      <c r="E12" s="334"/>
      <c r="F12" s="334"/>
      <c r="G12" s="334"/>
      <c r="H12" s="334"/>
      <c r="I12" s="336">
        <v>231</v>
      </c>
      <c r="J12" s="337">
        <v>148</v>
      </c>
      <c r="K12" s="337">
        <v>77</v>
      </c>
      <c r="L12" s="338">
        <v>38</v>
      </c>
      <c r="M12" s="79"/>
      <c r="N12" s="79"/>
      <c r="O12" s="80"/>
    </row>
    <row r="13" spans="1:15" ht="16.5" thickBot="1">
      <c r="A13" s="135" t="s">
        <v>23</v>
      </c>
      <c r="B13" s="774"/>
      <c r="C13" s="708">
        <f>C4+C5+C6+C7+C8+C9+C11</f>
        <v>72</v>
      </c>
      <c r="D13" s="708">
        <f t="shared" ref="D13:H13" si="0">D4+D5+D6+D7+D8+D9+D11</f>
        <v>97</v>
      </c>
      <c r="E13" s="708">
        <f t="shared" si="0"/>
        <v>146</v>
      </c>
      <c r="F13" s="708">
        <f t="shared" si="0"/>
        <v>149</v>
      </c>
      <c r="G13" s="708">
        <f t="shared" si="0"/>
        <v>145</v>
      </c>
      <c r="H13" s="708">
        <f t="shared" si="0"/>
        <v>112</v>
      </c>
      <c r="I13" s="708">
        <f>I12</f>
        <v>231</v>
      </c>
      <c r="J13" s="708">
        <f>J12</f>
        <v>148</v>
      </c>
      <c r="K13" s="708">
        <f>K12</f>
        <v>77</v>
      </c>
      <c r="L13" s="708">
        <f>L12</f>
        <v>38</v>
      </c>
      <c r="M13" s="206">
        <f>SUM(M4:M12)</f>
        <v>0</v>
      </c>
      <c r="N13" s="232">
        <f>SUM(N4:N12)</f>
        <v>0</v>
      </c>
      <c r="O13" s="345">
        <f>SUM(O4:O12)</f>
        <v>0</v>
      </c>
    </row>
  </sheetData>
  <mergeCells count="4">
    <mergeCell ref="A1:A3"/>
    <mergeCell ref="C1:H2"/>
    <mergeCell ref="I1:L2"/>
    <mergeCell ref="M1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Effectif</vt:lpstr>
      <vt:lpstr>Omar Idris</vt:lpstr>
      <vt:lpstr>Bouamama</vt:lpstr>
      <vt:lpstr>Technicum</vt:lpstr>
      <vt:lpstr>Guernini</vt:lpstr>
      <vt:lpstr>Birine</vt:lpstr>
      <vt:lpstr>Benhar</vt:lpstr>
      <vt:lpstr>Had sahari</vt:lpstr>
      <vt:lpstr>Ain fekka</vt:lpstr>
      <vt:lpstr>Bouiret lahdeb</vt:lpstr>
      <vt:lpstr>Sidi laadjel</vt:lpstr>
      <vt:lpstr>Hassi fedoul</vt:lpstr>
      <vt:lpstr>Lekhmis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EPSP</dc:creator>
  <cp:lastModifiedBy>Bzbook</cp:lastModifiedBy>
  <cp:lastPrinted>2026-04-09T07:40:06Z</cp:lastPrinted>
  <dcterms:created xsi:type="dcterms:W3CDTF">2021-09-09T15:14:58Z</dcterms:created>
  <dcterms:modified xsi:type="dcterms:W3CDTF">2026-04-27T18:10:42Z</dcterms:modified>
</cp:coreProperties>
</file>