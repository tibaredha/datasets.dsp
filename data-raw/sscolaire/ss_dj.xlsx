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730" windowHeight="10650" tabRatio="899" firstSheet="1" activeTab="17"/>
  </bookViews>
  <sheets>
    <sheet name="total" sheetId="1" r:id="rId1"/>
    <sheet name="adila" sheetId="26" r:id="rId2"/>
    <sheet name="1 nov" sheetId="7" r:id="rId3"/>
    <sheet name="nadjah" sheetId="8" r:id="rId4"/>
    <sheet name="al amir" sheetId="9" r:id="rId5"/>
    <sheet name="sailaa karia" sheetId="10" r:id="rId6"/>
    <sheet name="tahiri" sheetId="11" r:id="rId7"/>
    <sheet name="mahata rggab" sheetId="12" r:id="rId8"/>
    <sheet name="belahrch" sheetId="13" r:id="rId9"/>
    <sheet name="bakai" sheetId="14" r:id="rId10"/>
    <sheet name="belhwadjb" sheetId="15" r:id="rId11"/>
    <sheet name="el kotb" sheetId="16" r:id="rId12"/>
    <sheet name="idrissia" sheetId="17" r:id="rId13"/>
    <sheet name="charef" sheetId="18" r:id="rId14"/>
    <sheet name="guedid" sheetId="19" r:id="rId15"/>
    <sheet name="ben yaagoub" sheetId="23" r:id="rId16"/>
    <sheet name="douis" sheetId="24" r:id="rId17"/>
    <sheet name="ain chouhadda" sheetId="25" r:id="rId18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6"/>
  <c r="C3" i="1"/>
  <c r="E23" i="7"/>
  <c r="C4" i="1"/>
  <c r="E26" i="8"/>
  <c r="C5" i="1"/>
  <c r="E21" i="9"/>
  <c r="C6" i="1"/>
  <c r="E11" i="10"/>
  <c r="C7" i="1"/>
  <c r="E20" i="11"/>
  <c r="C8" i="1"/>
  <c r="E18" i="12"/>
  <c r="C9" i="1"/>
  <c r="E17" i="13"/>
  <c r="C10" i="1"/>
  <c r="E28" i="14"/>
  <c r="C11" i="1"/>
  <c r="E21" i="15"/>
  <c r="C12" i="1"/>
  <c r="E20" i="16"/>
  <c r="C13" i="1"/>
  <c r="E26" i="17"/>
  <c r="C14" i="1"/>
  <c r="E28" i="18"/>
  <c r="C15" i="1"/>
  <c r="E18" i="19"/>
  <c r="C16" i="1"/>
  <c r="E10" i="23"/>
  <c r="C17" i="1"/>
  <c r="E10" i="24"/>
  <c r="C18" i="1"/>
  <c r="E9" i="25"/>
  <c r="C19" i="1"/>
  <c r="F15" i="26"/>
  <c r="D3" i="1"/>
  <c r="F23" i="7"/>
  <c r="D4" i="1"/>
  <c r="F26" i="8"/>
  <c r="D5" i="1"/>
  <c r="F21" i="9"/>
  <c r="D6" i="1"/>
  <c r="F11" i="10"/>
  <c r="D7" i="1"/>
  <c r="F20" i="11"/>
  <c r="D8" i="1"/>
  <c r="F18" i="12"/>
  <c r="D9" i="1"/>
  <c r="F17" i="13"/>
  <c r="D10" i="1"/>
  <c r="F28" i="14"/>
  <c r="D11" i="1"/>
  <c r="F21" i="15"/>
  <c r="D12" i="1"/>
  <c r="F20" i="16"/>
  <c r="D13" i="1"/>
  <c r="F26" i="17"/>
  <c r="D14" i="1"/>
  <c r="F28" i="18"/>
  <c r="D15" i="1"/>
  <c r="F18" i="19"/>
  <c r="D16" i="1"/>
  <c r="F10" i="23"/>
  <c r="D17" i="1"/>
  <c r="F10" i="24"/>
  <c r="D18" i="1"/>
  <c r="F9" i="25"/>
  <c r="D19" i="1"/>
  <c r="G15" i="26"/>
  <c r="E3" i="1"/>
  <c r="G23" i="7"/>
  <c r="E4" i="1"/>
  <c r="G26" i="8"/>
  <c r="E5" i="1"/>
  <c r="G21" i="9"/>
  <c r="E6" i="1"/>
  <c r="G11" i="10"/>
  <c r="E7" i="1"/>
  <c r="G20" i="11"/>
  <c r="E8" i="1"/>
  <c r="G18" i="12"/>
  <c r="E9" i="1"/>
  <c r="G17" i="13"/>
  <c r="E10" i="1"/>
  <c r="G28" i="14"/>
  <c r="E11" i="1"/>
  <c r="G21" i="15"/>
  <c r="E12" i="1"/>
  <c r="G20" i="16"/>
  <c r="E13" i="1"/>
  <c r="G26" i="17"/>
  <c r="E14" i="1"/>
  <c r="G28" i="18"/>
  <c r="E15" i="1"/>
  <c r="G18" i="19"/>
  <c r="E16" i="1"/>
  <c r="G10" i="23"/>
  <c r="E17" i="1"/>
  <c r="G10" i="24"/>
  <c r="E18" i="1"/>
  <c r="G9" i="25"/>
  <c r="E19" i="1"/>
  <c r="H15" i="26"/>
  <c r="F3" i="1"/>
  <c r="H23" i="7"/>
  <c r="F4" i="1"/>
  <c r="H26" i="8"/>
  <c r="F5" i="1"/>
  <c r="H21" i="9"/>
  <c r="F6" i="1"/>
  <c r="H11" i="10"/>
  <c r="F7" i="1"/>
  <c r="H20" i="11"/>
  <c r="F8" i="1"/>
  <c r="H18" i="12"/>
  <c r="F9" i="1"/>
  <c r="H17" i="13"/>
  <c r="F10" i="1"/>
  <c r="H28" i="14"/>
  <c r="F11" i="1"/>
  <c r="H21" i="15"/>
  <c r="F12" i="1"/>
  <c r="H20" i="16"/>
  <c r="F13" i="1"/>
  <c r="H26" i="17"/>
  <c r="F14" i="1"/>
  <c r="H28" i="18"/>
  <c r="F15" i="1"/>
  <c r="H18" i="19"/>
  <c r="F16" i="1"/>
  <c r="H10" i="23"/>
  <c r="F17" i="1"/>
  <c r="H10" i="24"/>
  <c r="F18" i="1"/>
  <c r="H9" i="25"/>
  <c r="F19" i="1"/>
  <c r="I15" i="26"/>
  <c r="G3" i="1"/>
  <c r="I23" i="7"/>
  <c r="G4" i="1"/>
  <c r="I26" i="8"/>
  <c r="G5" i="1"/>
  <c r="I21" i="9"/>
  <c r="G6" i="1"/>
  <c r="I11" i="10"/>
  <c r="G7" i="1"/>
  <c r="I20" i="11"/>
  <c r="G8" i="1"/>
  <c r="I18" i="12"/>
  <c r="G9" i="1"/>
  <c r="I17" i="13"/>
  <c r="G10" i="1"/>
  <c r="I28" i="14"/>
  <c r="G11" i="1"/>
  <c r="I21" i="15"/>
  <c r="G12" i="1"/>
  <c r="I20" i="16"/>
  <c r="G13" i="1"/>
  <c r="I26" i="17"/>
  <c r="G14" i="1"/>
  <c r="I28" i="18"/>
  <c r="G15" i="1"/>
  <c r="I18" i="19"/>
  <c r="G16" i="1"/>
  <c r="I10" i="23"/>
  <c r="G17" i="1"/>
  <c r="I10" i="24"/>
  <c r="G18" i="1"/>
  <c r="I9" i="25"/>
  <c r="G19" i="1"/>
  <c r="J15" i="26"/>
  <c r="H3" i="1"/>
  <c r="J23" i="7"/>
  <c r="H4" i="1"/>
  <c r="J26" i="8"/>
  <c r="H5" i="1"/>
  <c r="J21" i="9"/>
  <c r="H6" i="1"/>
  <c r="J11" i="10"/>
  <c r="H7" i="1"/>
  <c r="J20" i="11"/>
  <c r="H8" i="1"/>
  <c r="J18" i="12"/>
  <c r="H9" i="1"/>
  <c r="J17" i="13"/>
  <c r="H10" i="1"/>
  <c r="J28" i="14"/>
  <c r="H11" i="1"/>
  <c r="J21" i="15"/>
  <c r="H12" i="1"/>
  <c r="J20" i="16"/>
  <c r="H13" i="1"/>
  <c r="J26" i="17"/>
  <c r="H14" i="1"/>
  <c r="J28" i="18"/>
  <c r="H15" i="1"/>
  <c r="J18" i="19"/>
  <c r="H16" i="1"/>
  <c r="J10" i="23"/>
  <c r="H17" i="1"/>
  <c r="J10" i="24"/>
  <c r="H18" i="1"/>
  <c r="J9" i="25"/>
  <c r="H19" i="1"/>
  <c r="K15" i="26"/>
  <c r="I3" i="1"/>
  <c r="K23" i="7"/>
  <c r="I4" i="1"/>
  <c r="K26" i="8"/>
  <c r="I5" i="1"/>
  <c r="K21" i="9"/>
  <c r="I6" i="1"/>
  <c r="K11" i="10"/>
  <c r="I7" i="1"/>
  <c r="K20" i="11"/>
  <c r="I8" i="1"/>
  <c r="K18" i="12"/>
  <c r="I9" i="1"/>
  <c r="K17" i="13"/>
  <c r="I10" i="1"/>
  <c r="K28" i="14"/>
  <c r="I11" i="1"/>
  <c r="K21" i="15"/>
  <c r="I12" i="1"/>
  <c r="K20" i="16"/>
  <c r="I13" i="1"/>
  <c r="K26" i="17"/>
  <c r="I14" i="1"/>
  <c r="K28" i="18"/>
  <c r="I15" i="1"/>
  <c r="K18" i="19"/>
  <c r="I16" i="1"/>
  <c r="K10" i="23"/>
  <c r="I17" i="1"/>
  <c r="K10" i="24"/>
  <c r="I18" i="1"/>
  <c r="K9" i="25"/>
  <c r="I19" i="1"/>
  <c r="L15" i="26"/>
  <c r="J3" i="1" s="1"/>
  <c r="L23" i="7"/>
  <c r="J4" i="1"/>
  <c r="L26" i="8"/>
  <c r="J5" i="1"/>
  <c r="L21" i="9"/>
  <c r="J6" i="1"/>
  <c r="L11" i="10"/>
  <c r="J7" i="1"/>
  <c r="L20" i="11"/>
  <c r="J8" i="1"/>
  <c r="L18" i="12"/>
  <c r="J9" i="1"/>
  <c r="L17" i="13"/>
  <c r="J10" i="1"/>
  <c r="L28" i="14"/>
  <c r="J11" i="1"/>
  <c r="L21" i="15"/>
  <c r="J12" i="1"/>
  <c r="L20" i="16"/>
  <c r="J13" i="1"/>
  <c r="L26" i="17"/>
  <c r="J14" i="1"/>
  <c r="L28" i="18"/>
  <c r="J15" i="1"/>
  <c r="L18" i="19"/>
  <c r="J16" i="1"/>
  <c r="L10" i="23"/>
  <c r="J17" i="1"/>
  <c r="L10" i="24"/>
  <c r="J18" i="1"/>
  <c r="L9" i="25"/>
  <c r="J19" i="1"/>
  <c r="M15" i="26"/>
  <c r="K3" i="1" s="1"/>
  <c r="M23" i="7"/>
  <c r="K4" i="1"/>
  <c r="M26" i="8"/>
  <c r="K5" i="1"/>
  <c r="M21" i="9"/>
  <c r="K6" i="1"/>
  <c r="M11" i="10"/>
  <c r="K7" i="1"/>
  <c r="M20" i="11"/>
  <c r="K8" i="1"/>
  <c r="M18" i="12"/>
  <c r="K9" i="1"/>
  <c r="M17" i="13"/>
  <c r="K10" i="1"/>
  <c r="M28" i="14"/>
  <c r="K11" i="1"/>
  <c r="M21" i="15"/>
  <c r="K12" i="1"/>
  <c r="M20" i="16"/>
  <c r="K13" i="1"/>
  <c r="O13" s="1"/>
  <c r="M26" i="17"/>
  <c r="K14" i="1"/>
  <c r="M28" i="18"/>
  <c r="K15" i="1"/>
  <c r="M18" i="19"/>
  <c r="K16" i="1"/>
  <c r="M10" i="23"/>
  <c r="K17" i="1"/>
  <c r="M10" i="24"/>
  <c r="K18" i="1"/>
  <c r="M9" i="25"/>
  <c r="K19" i="1"/>
  <c r="N15" i="26"/>
  <c r="L3" i="1" s="1"/>
  <c r="N23" i="7"/>
  <c r="L4" i="1"/>
  <c r="N26" i="8"/>
  <c r="L5" i="1"/>
  <c r="N21" i="9"/>
  <c r="L6" i="1"/>
  <c r="N11" i="10"/>
  <c r="L7" i="1"/>
  <c r="N20" i="11"/>
  <c r="L8" i="1"/>
  <c r="N18" i="12"/>
  <c r="L9" i="1"/>
  <c r="N17" i="13"/>
  <c r="L10" i="1"/>
  <c r="N28" i="14"/>
  <c r="L11" i="1"/>
  <c r="N21" i="15"/>
  <c r="L12" i="1"/>
  <c r="N20" i="16"/>
  <c r="L13" i="1"/>
  <c r="N26" i="17"/>
  <c r="L14" i="1"/>
  <c r="N28" i="18"/>
  <c r="L15" i="1"/>
  <c r="N18" i="19"/>
  <c r="L16" i="1"/>
  <c r="N10" i="23"/>
  <c r="L17" i="1"/>
  <c r="N10" i="24"/>
  <c r="L18" i="1"/>
  <c r="N9" i="25"/>
  <c r="L19" i="1"/>
  <c r="O15" i="26"/>
  <c r="M3" i="1"/>
  <c r="O23" i="7"/>
  <c r="M4" i="1"/>
  <c r="O26" i="8"/>
  <c r="M5" i="1"/>
  <c r="O21" i="9"/>
  <c r="M6" i="1"/>
  <c r="O11" i="10"/>
  <c r="M7" i="1"/>
  <c r="O20" i="11"/>
  <c r="M8" i="1"/>
  <c r="O18" i="12"/>
  <c r="M9" i="1"/>
  <c r="O17" i="13"/>
  <c r="M10" i="1"/>
  <c r="O28" i="14"/>
  <c r="M11" i="1"/>
  <c r="O21" i="15"/>
  <c r="M12" i="1"/>
  <c r="O20" i="16"/>
  <c r="M13" i="1"/>
  <c r="O26" i="17"/>
  <c r="M14" i="1"/>
  <c r="O28" i="18"/>
  <c r="M15" i="1"/>
  <c r="O18" i="19"/>
  <c r="M16" i="1"/>
  <c r="O10" i="23"/>
  <c r="M17" i="1"/>
  <c r="O10" i="24"/>
  <c r="M18" i="1"/>
  <c r="O9" i="25"/>
  <c r="M19" i="1"/>
  <c r="P15" i="26"/>
  <c r="N3" i="1" s="1"/>
  <c r="P23" i="7"/>
  <c r="N4" i="1"/>
  <c r="P26" i="8"/>
  <c r="N5" i="1"/>
  <c r="P21" i="9"/>
  <c r="N6" i="1"/>
  <c r="P11" i="10"/>
  <c r="N7" i="1"/>
  <c r="P20" i="11"/>
  <c r="N8" i="1"/>
  <c r="P18" i="12"/>
  <c r="N9" i="1"/>
  <c r="P17" i="13"/>
  <c r="N10" i="1"/>
  <c r="P28" i="14"/>
  <c r="N11" i="1"/>
  <c r="P21" i="15"/>
  <c r="N12" i="1"/>
  <c r="P20" i="16"/>
  <c r="N13" i="1"/>
  <c r="P26" i="17"/>
  <c r="N14" i="1"/>
  <c r="P28" i="18"/>
  <c r="N15" i="1"/>
  <c r="P18" i="19"/>
  <c r="N16" i="1"/>
  <c r="P10" i="23"/>
  <c r="N17" i="1"/>
  <c r="P10" i="24"/>
  <c r="N18" i="1"/>
  <c r="P9" i="25"/>
  <c r="N19" i="1"/>
  <c r="D15" i="26"/>
  <c r="B3" i="1" s="1"/>
  <c r="D23" i="7"/>
  <c r="B4" i="1"/>
  <c r="O4"/>
  <c r="D26" i="8"/>
  <c r="B5" i="1"/>
  <c r="O5" s="1"/>
  <c r="D21" i="9"/>
  <c r="B6" i="1"/>
  <c r="O6" s="1"/>
  <c r="D11" i="10"/>
  <c r="B7" i="1"/>
  <c r="O7" s="1"/>
  <c r="D20" i="11"/>
  <c r="B8" i="1"/>
  <c r="O8" s="1"/>
  <c r="D18" i="12"/>
  <c r="B9" i="1"/>
  <c r="O9" s="1"/>
  <c r="D17" i="13"/>
  <c r="B10" i="1"/>
  <c r="O10" s="1"/>
  <c r="D28" i="14"/>
  <c r="B11" i="1"/>
  <c r="O11" s="1"/>
  <c r="D21" i="15"/>
  <c r="B12" i="1"/>
  <c r="O12" s="1"/>
  <c r="D20" i="16"/>
  <c r="B13" i="1"/>
  <c r="D26" i="17"/>
  <c r="B14" i="1"/>
  <c r="O14" s="1"/>
  <c r="D28" i="18"/>
  <c r="B15" i="1"/>
  <c r="O15" s="1"/>
  <c r="D18" i="19"/>
  <c r="B16" i="1"/>
  <c r="O16" s="1"/>
  <c r="D10" i="23"/>
  <c r="B17" i="1"/>
  <c r="O17" s="1"/>
  <c r="D10" i="24"/>
  <c r="B18" i="1"/>
  <c r="O18"/>
  <c r="D9" i="25"/>
  <c r="B19" i="1"/>
  <c r="O19"/>
  <c r="Q14" i="26"/>
  <c r="Q13"/>
  <c r="Q12"/>
  <c r="Q11"/>
  <c r="Q10"/>
  <c r="Q9"/>
  <c r="Q8"/>
  <c r="Q7"/>
  <c r="Q6"/>
  <c r="Q5"/>
  <c r="Q4"/>
  <c r="Q15" s="1"/>
  <c r="Q3"/>
  <c r="Q3" i="25"/>
  <c r="Q4"/>
  <c r="Q5"/>
  <c r="Q6"/>
  <c r="Q7"/>
  <c r="Q8"/>
  <c r="Q9"/>
  <c r="Q3" i="24"/>
  <c r="Q4"/>
  <c r="Q5"/>
  <c r="Q6"/>
  <c r="Q7"/>
  <c r="Q8"/>
  <c r="Q9"/>
  <c r="Q10"/>
  <c r="Q4" i="23"/>
  <c r="Q5"/>
  <c r="Q6"/>
  <c r="Q7"/>
  <c r="Q8"/>
  <c r="Q9"/>
  <c r="Q3"/>
  <c r="Q10"/>
  <c r="Q3" i="19"/>
  <c r="Q4"/>
  <c r="Q5"/>
  <c r="Q6"/>
  <c r="Q7"/>
  <c r="Q8"/>
  <c r="Q9"/>
  <c r="Q10"/>
  <c r="Q11"/>
  <c r="Q12"/>
  <c r="Q13"/>
  <c r="Q14"/>
  <c r="Q15"/>
  <c r="Q16"/>
  <c r="Q17"/>
  <c r="Q18"/>
  <c r="Q4" i="18"/>
  <c r="Q5"/>
  <c r="Q6"/>
  <c r="Q3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4" i="17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3"/>
  <c r="Q3" i="16"/>
  <c r="Q4"/>
  <c r="Q5"/>
  <c r="Q6"/>
  <c r="Q7"/>
  <c r="Q8"/>
  <c r="Q9"/>
  <c r="Q10"/>
  <c r="Q11"/>
  <c r="Q12"/>
  <c r="Q13"/>
  <c r="Q14"/>
  <c r="Q15"/>
  <c r="Q16"/>
  <c r="Q17"/>
  <c r="Q18"/>
  <c r="Q19"/>
  <c r="Q20"/>
  <c r="Q3" i="15"/>
  <c r="Q4"/>
  <c r="Q5"/>
  <c r="Q6"/>
  <c r="Q7"/>
  <c r="Q8"/>
  <c r="Q9"/>
  <c r="Q10"/>
  <c r="Q11"/>
  <c r="Q12"/>
  <c r="Q13"/>
  <c r="Q14"/>
  <c r="Q15"/>
  <c r="Q16"/>
  <c r="Q17"/>
  <c r="Q18"/>
  <c r="Q19"/>
  <c r="Q20"/>
  <c r="Q21"/>
  <c r="Q3" i="14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4" i="13"/>
  <c r="Q5"/>
  <c r="Q3"/>
  <c r="Q6"/>
  <c r="Q7"/>
  <c r="Q8"/>
  <c r="Q9"/>
  <c r="Q10"/>
  <c r="Q11"/>
  <c r="Q12"/>
  <c r="Q13"/>
  <c r="Q14"/>
  <c r="Q15"/>
  <c r="Q16"/>
  <c r="Q17"/>
  <c r="Q4" i="12"/>
  <c r="Q5"/>
  <c r="Q6"/>
  <c r="Q7"/>
  <c r="Q8"/>
  <c r="Q9"/>
  <c r="Q10"/>
  <c r="Q11"/>
  <c r="Q12"/>
  <c r="Q13"/>
  <c r="Q14"/>
  <c r="Q15"/>
  <c r="Q16"/>
  <c r="Q17"/>
  <c r="Q3"/>
  <c r="Q4" i="11"/>
  <c r="Q5"/>
  <c r="Q6"/>
  <c r="Q7"/>
  <c r="Q8"/>
  <c r="Q9"/>
  <c r="Q10"/>
  <c r="Q11"/>
  <c r="Q12"/>
  <c r="Q13"/>
  <c r="Q14"/>
  <c r="Q15"/>
  <c r="Q16"/>
  <c r="Q17"/>
  <c r="Q18"/>
  <c r="Q19"/>
  <c r="Q3"/>
  <c r="Q4" i="10"/>
  <c r="Q5"/>
  <c r="Q6"/>
  <c r="Q7"/>
  <c r="Q8"/>
  <c r="Q9"/>
  <c r="Q10"/>
  <c r="Q3"/>
  <c r="Q3" i="9"/>
  <c r="Q4"/>
  <c r="Q5"/>
  <c r="Q6"/>
  <c r="Q7"/>
  <c r="Q8"/>
  <c r="Q9"/>
  <c r="Q10"/>
  <c r="Q11"/>
  <c r="Q12"/>
  <c r="Q13"/>
  <c r="Q14"/>
  <c r="Q15"/>
  <c r="Q16"/>
  <c r="Q17"/>
  <c r="Q18"/>
  <c r="Q19"/>
  <c r="Q20"/>
  <c r="Q21"/>
  <c r="Q3" i="8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4" i="7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3"/>
  <c r="Q26" i="17"/>
  <c r="Q18" i="12"/>
  <c r="Q20" i="11"/>
  <c r="Q11" i="10"/>
  <c r="G20" i="1" l="1"/>
  <c r="E20"/>
  <c r="C20"/>
  <c r="B20"/>
  <c r="L20"/>
  <c r="H20"/>
  <c r="I20"/>
  <c r="M20"/>
  <c r="O3"/>
  <c r="O20" s="1"/>
  <c r="J20"/>
  <c r="N20"/>
  <c r="K20"/>
  <c r="F20"/>
  <c r="D20"/>
</calcChain>
</file>

<file path=xl/sharedStrings.xml><?xml version="1.0" encoding="utf-8"?>
<sst xmlns="http://schemas.openxmlformats.org/spreadsheetml/2006/main" count="933" uniqueCount="313">
  <si>
    <t>ابتدائية صويلح شويحة</t>
  </si>
  <si>
    <t>ابتدائية نعاس عبد الحميد</t>
  </si>
  <si>
    <t>ابتدائية الفصحى الجديدة</t>
  </si>
  <si>
    <t>ابتدائية جقبوب بن حواش</t>
  </si>
  <si>
    <t>ابتدائية الهاني محمد بن الهادي</t>
  </si>
  <si>
    <t>ابتدائية حسان عبد القادر</t>
  </si>
  <si>
    <t>ابتدائية بن عمران ثامر</t>
  </si>
  <si>
    <t>متوسطة مقواس بلقاسم</t>
  </si>
  <si>
    <t>متوسطة 18 فبراير</t>
  </si>
  <si>
    <t>ابتدائية قوريدة أحمد</t>
  </si>
  <si>
    <t>ابتدائية جعيد عمر</t>
  </si>
  <si>
    <t>ابتدائية بن حليمة محمد</t>
  </si>
  <si>
    <t>متوسطة الرايس محمد</t>
  </si>
  <si>
    <t>متوسطة التلي بلكحل</t>
  </si>
  <si>
    <t>متوسطة بسطامي شويحة</t>
  </si>
  <si>
    <t>ابتدائية المركزية</t>
  </si>
  <si>
    <t>ابتدائية فيلالي البشير</t>
  </si>
  <si>
    <t>ابتدائية مسعودي محمد</t>
  </si>
  <si>
    <t>ابتدائية حنيشي محمد الشمالية</t>
  </si>
  <si>
    <t>ابتدائية حنيشي محمد الجنوبية</t>
  </si>
  <si>
    <t>ابتدائية لباز مصطفى</t>
  </si>
  <si>
    <t>ابتدائية شلالي يوسف</t>
  </si>
  <si>
    <t>ابتدائية لقرادة بلقاسم</t>
  </si>
  <si>
    <t>متوسطة الامير عبد القادر</t>
  </si>
  <si>
    <t>ابتدائية بوزكري كاكي</t>
  </si>
  <si>
    <t>ابتدائية بوزيدي الطاهر</t>
  </si>
  <si>
    <t>ابتدائية عزوز مسعود</t>
  </si>
  <si>
    <t>ابتدائية حميدي عامر</t>
  </si>
  <si>
    <t>ابتدائية دروازي بن فايد</t>
  </si>
  <si>
    <t>ابتدائية شيبوط بلعباس</t>
  </si>
  <si>
    <t>متوسطة علي الياقوت</t>
  </si>
  <si>
    <t>ابتدائية بلاحي محمد</t>
  </si>
  <si>
    <t>ابتدائية السعدي بلقاسم</t>
  </si>
  <si>
    <t>ابتدائية بالي العيد</t>
  </si>
  <si>
    <t>ابتدائية بلعربي عبد الباقي</t>
  </si>
  <si>
    <t>ابتدائية كاس محمد</t>
  </si>
  <si>
    <t>متوسطة جقبوب محمد</t>
  </si>
  <si>
    <t>متوسطة حاشي بلقاسم</t>
  </si>
  <si>
    <t>متوسطة بوبكراوي المختار</t>
  </si>
  <si>
    <t>ابتدائية محفوظي عمر</t>
  </si>
  <si>
    <t>ابتدائية ميلود القايد</t>
  </si>
  <si>
    <t>ابتدائية بلعطرة مختار</t>
  </si>
  <si>
    <t>ابتدائية حرفوش عبد القادر</t>
  </si>
  <si>
    <t>ابتدائية زعفران عطية</t>
  </si>
  <si>
    <t>متوسطة بكاي مسعودة</t>
  </si>
  <si>
    <t>متوسطة بقة مصطفى</t>
  </si>
  <si>
    <t>ابتدائية صادقي الصادق</t>
  </si>
  <si>
    <t>ابتدائية العايب الطاهر</t>
  </si>
  <si>
    <t>متوسطة الخنساء</t>
  </si>
  <si>
    <t>متوسطة بلحواجب احمد</t>
  </si>
  <si>
    <t>وحدة الكشف</t>
  </si>
  <si>
    <t xml:space="preserve">المؤسسة التعليمية </t>
  </si>
  <si>
    <t>سنة 1</t>
  </si>
  <si>
    <t>سنة 2</t>
  </si>
  <si>
    <t>سنة 3</t>
  </si>
  <si>
    <t>سنة 4</t>
  </si>
  <si>
    <t>سنة 5</t>
  </si>
  <si>
    <t xml:space="preserve">عديلة </t>
  </si>
  <si>
    <t xml:space="preserve">1 نوفمبر </t>
  </si>
  <si>
    <t>النجاح</t>
  </si>
  <si>
    <t xml:space="preserve">الأمير عبد القادر </t>
  </si>
  <si>
    <t>طهيري</t>
  </si>
  <si>
    <t>رقاب</t>
  </si>
  <si>
    <t>بلحرش</t>
  </si>
  <si>
    <t>بكاي</t>
  </si>
  <si>
    <t>بلحواجب</t>
  </si>
  <si>
    <t>ابتدائية المجاهد بن علية على -مج ج شعوة-</t>
  </si>
  <si>
    <t>ابتدائية رقاد المختار( حي بن سعيد )</t>
  </si>
  <si>
    <t>ابتدائية قاسم سليمان حي بن سعيد</t>
  </si>
  <si>
    <t>ابتدائية مريزيقة محمد ( المجمع الجديد بن سعيد 02 )</t>
  </si>
  <si>
    <t>ابتدائية الشيهب بلخير</t>
  </si>
  <si>
    <t>ابتدائية المجاهد بسيسة محمد -امسكة-</t>
  </si>
  <si>
    <t>متوسطة المجاهد حساني أسعيد</t>
  </si>
  <si>
    <t>ثانوية المجاهد عديلة أحمد - الجلفة</t>
  </si>
  <si>
    <t>ابتدائية الشهيد بلعطرة قويدر</t>
  </si>
  <si>
    <t>ابتدائية الشهيد شتوح عمر (حي بوخالفة الجديدة)</t>
  </si>
  <si>
    <t>ابتدائية المجاهد قاضى نعاس -الهدى-</t>
  </si>
  <si>
    <t>ابتدائية ونوقي أحمد</t>
  </si>
  <si>
    <t>ابتدائية بوزكري محمد</t>
  </si>
  <si>
    <t>ابتدائية جواف على (حي بوخالفة القديمة)</t>
  </si>
  <si>
    <t>متوسطة المجاهد بجقينة علي</t>
  </si>
  <si>
    <t>متوسطة المجاهد لزهاري بن شهرة</t>
  </si>
  <si>
    <t>متوسطة الإمام حاشي معمر</t>
  </si>
  <si>
    <t>متوسطة المجاهد لطرش محمد</t>
  </si>
  <si>
    <t>ثانوية أول نوفمبر - الجلفة</t>
  </si>
  <si>
    <t>ثانوية سي شريف بلحرش المتشعبة - الجلفة</t>
  </si>
  <si>
    <t>ثانوية المجاهد عمور عبد القادر - الجلفة</t>
  </si>
  <si>
    <t>ابتدائية الشهيد جريبيع سعد بن الميلود -عيسى القايد-</t>
  </si>
  <si>
    <t>ابتدائية الشهيد خدومة سعد -الرائد عمر ادريس-</t>
  </si>
  <si>
    <t>ابتدائية الشهيد الصيلع بلخير</t>
  </si>
  <si>
    <t>ابتدائية بورزق أحمد بن الشاوي (عين اسمارة)</t>
  </si>
  <si>
    <t>ابتدائية سلماني أحمد عين الزينة</t>
  </si>
  <si>
    <t>ابتدائية بورزق بوبكر برنادة قرب الدرك</t>
  </si>
  <si>
    <t>ابتدائية المجاهد بوزكري الحاج (النقازية)</t>
  </si>
  <si>
    <t>ابتدائية الشهيد طيبي غربي -ابتدائية الشيخ النعاس-</t>
  </si>
  <si>
    <t>متوسطة الشهيد زرنوح محمد</t>
  </si>
  <si>
    <t>متوسطة رويني لخضر</t>
  </si>
  <si>
    <t>متوسطة 11ديسمبر1960</t>
  </si>
  <si>
    <t>ثانوية الشهيد الرائد بن سليمان محمد بن العربي (النجاح) - الجلفة</t>
  </si>
  <si>
    <t>ثانوية لغريسي عبد العالي - الجلفة</t>
  </si>
  <si>
    <t>ابتدائية الشهيد بن الباز عبد الرحمان -بلحرش البشير-</t>
  </si>
  <si>
    <t>ابتدائية المجاهد حساني عبد الله - الأمل -</t>
  </si>
  <si>
    <t>ابتدائية علاوة يحيى</t>
  </si>
  <si>
    <t>ابتدائية ريكي مصطفى كمال -النور-</t>
  </si>
  <si>
    <t>ابتدائية المجاهد مقواس عمر - الفتح -</t>
  </si>
  <si>
    <t>متوسطة الأمير خالد</t>
  </si>
  <si>
    <t>متوسطة فضيلي عبد القادر</t>
  </si>
  <si>
    <t>متوسطة الإمام البخاري</t>
  </si>
  <si>
    <t>ثانوية الشيخ نعيم النعيمي - الجلفة</t>
  </si>
  <si>
    <t>ابتدائية الشهيد لخنش عطية</t>
  </si>
  <si>
    <t>ابتدائية بن حاج تواتي ( هواري بومدين )</t>
  </si>
  <si>
    <t>ابتدائية شربول محمد ( قرية أولاد عبيد الله سابقا)</t>
  </si>
  <si>
    <t>ابتدائية أوباح مدني-الزهور-</t>
  </si>
  <si>
    <t>ابتدائية روابح بلعباس ( أولاد عبيد الله سابقاً )</t>
  </si>
  <si>
    <t>ابتدائية قرية بن نيلي</t>
  </si>
  <si>
    <t>متوسطة المجاهد لخنش مصطفى</t>
  </si>
  <si>
    <t>ثانوية صيلع مبروك - الجلفة</t>
  </si>
  <si>
    <t>ابتدائية بن عيسى عبد العزيز</t>
  </si>
  <si>
    <t>ابتدائية برمان رابح ( شونان محمد )</t>
  </si>
  <si>
    <t>ابتدائية الشيخ أحمد بن علي</t>
  </si>
  <si>
    <t>ابتدائية جواف محمد (اول نوفمبر 54)</t>
  </si>
  <si>
    <t>ابتدائية المجمع الجديد حي بقوقة</t>
  </si>
  <si>
    <t>ابتدائية الشهيد بريك محمد صغير</t>
  </si>
  <si>
    <t>ابتدائية بن ساعد إلهام</t>
  </si>
  <si>
    <t>متوسطة محمد العربي بعرير</t>
  </si>
  <si>
    <t>متوسطة الشهيد جقال بايزيد</t>
  </si>
  <si>
    <t>متوسطة الشهيد بوزيدي مسعود</t>
  </si>
  <si>
    <t>متوسطة المجاهد طعبة خيرة</t>
  </si>
  <si>
    <t>ثانوية طهيري عبد الرحمان - الجلفة</t>
  </si>
  <si>
    <t>ابتدائية الشيخ احمد محفوظى</t>
  </si>
  <si>
    <t>ابتدائية الشهيد خضرون مزوز</t>
  </si>
  <si>
    <t>ابتدائية أحمد حمدون</t>
  </si>
  <si>
    <t>ابتدائية المجاهد عرابي عطية -عين الشيح الجديدة-</t>
  </si>
  <si>
    <t>ابتدائية قول علي</t>
  </si>
  <si>
    <t>ابتدائية حاجي سعد بالجلفة</t>
  </si>
  <si>
    <t>ابتدائية 17اكتوبر1961</t>
  </si>
  <si>
    <t>متوسطة الشهيد رقاب قويدر</t>
  </si>
  <si>
    <t>متوسطة بن عياد بن عياد</t>
  </si>
  <si>
    <t>ثانوية كيحل بن شهرة - الجلفة</t>
  </si>
  <si>
    <t>ابتدائية الشهيد زيتوني بلخير (عبيكشي السعيد سابقا)</t>
  </si>
  <si>
    <t>ابتدائية الإمام بن ربيح</t>
  </si>
  <si>
    <t>متوسطة الشهيد حمو محمد</t>
  </si>
  <si>
    <t>ثانوية عبد الحق بن حمودة - الجلفة</t>
  </si>
  <si>
    <t>ثانوية ابن الاحرش السعيد - الجلفة</t>
  </si>
  <si>
    <t>ثانوية المجاهد مسعودي عطية - الجلفة</t>
  </si>
  <si>
    <t>ابتدائية المجاهد بطاش النعاس</t>
  </si>
  <si>
    <t>ابتدائية حرزلي محمد -الجديدة بحي البناء الذاتي-</t>
  </si>
  <si>
    <t>ابتدائية بورقدة أحمد</t>
  </si>
  <si>
    <t>ابتدائية 20اوت 1956</t>
  </si>
  <si>
    <t>ابتدائية العقون مصطفى ( المجمع الجديد طريق بحرارة)</t>
  </si>
  <si>
    <t>ابتدائية دروازي الشامخ 1</t>
  </si>
  <si>
    <t>ابتدائية المجاهد تفريج محمد -دروازي الشامخ (2)-</t>
  </si>
  <si>
    <t>ابتدائية الشهيد حفاف يحيى</t>
  </si>
  <si>
    <t>ابتدائية زناتي المخلط</t>
  </si>
  <si>
    <t>ابتدائية عبيدي ربيح -فوج 4-</t>
  </si>
  <si>
    <t>متوسطة الشهيد دحماني دحمان</t>
  </si>
  <si>
    <t>متوسطة (الفتح ) الشهيد مهدي البشير</t>
  </si>
  <si>
    <t>متوسطة المجاهد بن سليمان محمد</t>
  </si>
  <si>
    <t>ثانوية الشهيد نواري بلقاسم (عين السرار الجديدة) - الجلفة</t>
  </si>
  <si>
    <t>ثانوية عريوة عمر - الجلفة</t>
  </si>
  <si>
    <t>ثانوية صديقي النوري - الجلفة</t>
  </si>
  <si>
    <t>ابتدائية المجاهد براهيمي عبد القادر بلخضر</t>
  </si>
  <si>
    <t>ابتدائية المجاهد لباز سعيد -حاشي معمر-</t>
  </si>
  <si>
    <t>ابتدائية بن عطية سي بن محمد</t>
  </si>
  <si>
    <t>ابتدائية المجاهد بن موفق عبد القادر بن محمد (حي بنات بلكحل)</t>
  </si>
  <si>
    <t>ابتدائية بوشنافة مريم</t>
  </si>
  <si>
    <t>ابتدائية دلاعة عطية</t>
  </si>
  <si>
    <t>ابتدائية الشهيد القيزي عبد الحميد</t>
  </si>
  <si>
    <t>ابتدائية زريعة عبد القادر</t>
  </si>
  <si>
    <t>ابتدائية بخاري عبد القادر</t>
  </si>
  <si>
    <t>متوسطة الشهيد خذيري المختار</t>
  </si>
  <si>
    <t>ثانوية ابن خلدون - الجلفة</t>
  </si>
  <si>
    <t>ثانوية المجاهد نوراني مصطفى - الجلفة</t>
  </si>
  <si>
    <t>متوسطة المجاهد قليشة مصطفى</t>
  </si>
  <si>
    <t>متوسطة الشهيد جرعوب بن ثامر</t>
  </si>
  <si>
    <t>متوسطة المجاهد علي قوجيل</t>
  </si>
  <si>
    <t>ابتدائية دريس عيسى ( ع اسرار القديمة)</t>
  </si>
  <si>
    <t>ابتدائية غربي بن عبد الله</t>
  </si>
  <si>
    <t>ابتدائية الكرالطاهر</t>
  </si>
  <si>
    <t>ابتدائية الشهيد بوزيدي زكراوي -مج ج ع اسرار 1-</t>
  </si>
  <si>
    <t>ابتدائية الشهيد بايرش بلقاسم حي البساتين</t>
  </si>
  <si>
    <t>ثانوية الشهيد بن ضيف الحفناوي - الجلفة</t>
  </si>
  <si>
    <t>ابتدائية الشيخ بوعمامة</t>
  </si>
  <si>
    <t>ابتدائية بن بوزيد محمد</t>
  </si>
  <si>
    <t>ابتدائية بن قريقة قويدر -مج ج حي زعيتري-</t>
  </si>
  <si>
    <t>ابتدائية بيدة جمال</t>
  </si>
  <si>
    <t>ابتدائية حنيشي زبير</t>
  </si>
  <si>
    <t>ابتدائية حنيشي قويدر -المجمع ب1-</t>
  </si>
  <si>
    <t>ابتدائية خالدي مخلوف</t>
  </si>
  <si>
    <t>ابتدائية خضراوي بن سعد</t>
  </si>
  <si>
    <t>ابتدائية زعيتري بوبكر</t>
  </si>
  <si>
    <t>ابتدائية زفزافي بوبكر</t>
  </si>
  <si>
    <t>ابتدائية شاتي ميلود</t>
  </si>
  <si>
    <t>ابتدائية شرفاوي عبد الله</t>
  </si>
  <si>
    <t>ابتدائية شكال بشير</t>
  </si>
  <si>
    <t>ابتدائية طاهري عبد الرحمان</t>
  </si>
  <si>
    <t>ابتدائية قوادري امحمد - النهضة-</t>
  </si>
  <si>
    <t>متوسطة طاهري عبدالقادر</t>
  </si>
  <si>
    <t>متوسطة طارق بن زياد</t>
  </si>
  <si>
    <t>متوسطة بن بوزيد عمار</t>
  </si>
  <si>
    <t>متوسطة القطب الحضري (ناجمة عن تحويل مدرسة ابتدائية)</t>
  </si>
  <si>
    <t>متوسطة الشهيد قوادري بوبكر</t>
  </si>
  <si>
    <t>ثانوية بن عمران ثامر - الادريسية</t>
  </si>
  <si>
    <t>ثانوية عبد المؤمن بن علي - الادريسية</t>
  </si>
  <si>
    <t>ثانوية الشهيد زاغز جلول - الادريسية</t>
  </si>
  <si>
    <t xml:space="preserve">بن عمران ثامر - الإدريسية </t>
  </si>
  <si>
    <t>ابتدائية أول نوفمبر</t>
  </si>
  <si>
    <t>ابتدائية اخضري  مسعود</t>
  </si>
  <si>
    <t>ابتدائية الشهيد بلقصة بوجمعة</t>
  </si>
  <si>
    <t>ابتدائية الشهيد طهراوي قريبي (م- بوذيب)</t>
  </si>
  <si>
    <t>ابتدائية الشهيد عليوات عبد القادر ( حاسي الخنق )</t>
  </si>
  <si>
    <t>ابتدائية الشهيد مادني ابراهيم</t>
  </si>
  <si>
    <t>ابتدائية العايبي عبدالقادر</t>
  </si>
  <si>
    <t>ابتدائية اللويبد  الشارف</t>
  </si>
  <si>
    <t>ابتدائية المجاهد بن العايب مخلوف (وسط المدينة)</t>
  </si>
  <si>
    <t>ابتدائية المجمع الجديد الحجرية</t>
  </si>
  <si>
    <t>ابتدائية الناجمة عن تحويل محلات حي الفتح</t>
  </si>
  <si>
    <t>ابتدائية تاوزارة</t>
  </si>
  <si>
    <t>ابتدائية جعفر محمد الجنوبية</t>
  </si>
  <si>
    <t>ابتدائية جعفر محمد الشمالية</t>
  </si>
  <si>
    <t>ابتدائية جودي مخلوف</t>
  </si>
  <si>
    <t>ابتدائية عين الحجر</t>
  </si>
  <si>
    <t>ابتدائية فيرم عبد النبي</t>
  </si>
  <si>
    <t>ابتدائية فيرم يحيى ( الحمام )</t>
  </si>
  <si>
    <t>ابتدائية مقدم المختار ( الوئام )</t>
  </si>
  <si>
    <t>ابتدائية منادي عيسى</t>
  </si>
  <si>
    <t>متوسطة سيدي عبد العزيز الحاج</t>
  </si>
  <si>
    <t>متوسطة حيرش عبد العزيز</t>
  </si>
  <si>
    <t>متوسطة الشهيد مقدم سعد</t>
  </si>
  <si>
    <t>ثانوية البشير الابراهيمي - الشارف</t>
  </si>
  <si>
    <t>ثانوية باقي الطيب - الشارف</t>
  </si>
  <si>
    <t>حيرش عبد العزيز - الشارف</t>
  </si>
  <si>
    <t>ابتدائية الأمير عبد القادر بالقديد</t>
  </si>
  <si>
    <t>القديد</t>
  </si>
  <si>
    <t>ابتدائية المجاهد قصار ثامر</t>
  </si>
  <si>
    <t>ابتدائية المجمع المدرسي ب1 أم الشقاق</t>
  </si>
  <si>
    <t>ابتدائية بن عمران قدور -المجمع الجديد 1-</t>
  </si>
  <si>
    <t>ابتدائية ثامر بن عمران</t>
  </si>
  <si>
    <t>ابتدائية عيساوي بلحاج ( أم الشقاق )</t>
  </si>
  <si>
    <t>ابتدائية محمد بوضياف</t>
  </si>
  <si>
    <t>ابتدائية منطقة الشايفة</t>
  </si>
  <si>
    <t>ابتدائية منطقة حاسي مساعدية</t>
  </si>
  <si>
    <t>ابتدائية هواري بومدين</t>
  </si>
  <si>
    <t>متوسطة عيساوي عبد الرحيم ( أم الشقاق )</t>
  </si>
  <si>
    <t>متوسطة عبد الحميد بن باديس</t>
  </si>
  <si>
    <t>متوسطة المجاهد بن لحرش شريف</t>
  </si>
  <si>
    <t>متوسطة المجاهد أحميدات الأخضر براهيم</t>
  </si>
  <si>
    <t>ثانوية الشهيد طيبي مسعود - القديد</t>
  </si>
  <si>
    <t>ابتدائية الشهيد سعدي بلقاسم ( المجمع ب )</t>
  </si>
  <si>
    <t>ابتدائية المجاهد لبنة محمد ( فكيرين )</t>
  </si>
  <si>
    <t>ابتدائية بن سليمان عبد القادر</t>
  </si>
  <si>
    <t>ابتدائية مدرسة إبتدائية نوع أ منطقة الجعران</t>
  </si>
  <si>
    <t>ابتدائية نمط ب1 حي شتوح عمر</t>
  </si>
  <si>
    <t>متوسطة المجاهد مسعودي محمد</t>
  </si>
  <si>
    <t>ثانوية المجاهد سعيدي بولرباح - بني يعقوب</t>
  </si>
  <si>
    <t xml:space="preserve">بن يعقوب </t>
  </si>
  <si>
    <t>ابتدائية ابتدائية نمط 2 حي محمد شعباني</t>
  </si>
  <si>
    <t>ابتدائية بن شتوح أحمد ( المجمع الجديد أ)</t>
  </si>
  <si>
    <t>ابتدائية رابحي عبدالرحمن</t>
  </si>
  <si>
    <t>ابتدائية علاوة التواتي</t>
  </si>
  <si>
    <t>ابتدائية عيداوي المسعود</t>
  </si>
  <si>
    <t>متوسطة رابحي بن داود</t>
  </si>
  <si>
    <t>ثانوية المجاهد شتوحي سالم - دويس</t>
  </si>
  <si>
    <t>الدويس</t>
  </si>
  <si>
    <t>ابتدائية ابتدائية بمنطقة مريرس</t>
  </si>
  <si>
    <t>ابتدائية الشهيد حنيش محمد بن مسعود</t>
  </si>
  <si>
    <t>ابتدائية خضرون مازوز</t>
  </si>
  <si>
    <t>ابتدائية زحزاح  موسى -مج ج(أ1)-</t>
  </si>
  <si>
    <t>ابتدائية قناني بن سليم</t>
  </si>
  <si>
    <t>متوسطة عين الشهداء</t>
  </si>
  <si>
    <t xml:space="preserve">عين الشهداء </t>
  </si>
  <si>
    <t>ابتدائية حرفوش عيسى (مج ج بربيح 01)</t>
  </si>
  <si>
    <t>ابتدائية المجاهد قدقاد الخذير (القطب الحضري هواري بومدين مخطط شغل الا</t>
  </si>
  <si>
    <t>ابتدائية المجاهد صيلع لخضر</t>
  </si>
  <si>
    <t>ابتدائية الشهيد سعدون الطيب</t>
  </si>
  <si>
    <t>ابتدائية المجاهد يعقوب لخضر (الموقع 16)</t>
  </si>
  <si>
    <t>ابتدائية المجاهد نوي مصطفى ( مج ج بربيح 02)</t>
  </si>
  <si>
    <t>ابتدائية الشهيدة روام فطوم (نوع د بموقع 01 بـ 8750 مسكن )</t>
  </si>
  <si>
    <t>ابتدائية ابتدائية المجاهد بلقرع بوعمرة</t>
  </si>
  <si>
    <t>ابتدائية المجاهد رضا محمد( نوع د بموقع 02 بـ 8750 مسكن بالقطب)</t>
  </si>
  <si>
    <t>ابتدائية الجديدة القطب الحضري بربيح م 27</t>
  </si>
  <si>
    <t>متوسطة الشهيد رقيق أحمد بن سعد</t>
  </si>
  <si>
    <t>متوسطة المجاهد بن شريك عبد الرحمان بن أحمد</t>
  </si>
  <si>
    <t>ثانوية المجاهد ونوقي معمر - الجلفة</t>
  </si>
  <si>
    <t>ثانوية المجاهد فضة عبد القادر( القطب الحضري بربيح ) - الجلفة</t>
  </si>
  <si>
    <t>ثانوية الشهيد قشام محمد - الجلفة</t>
  </si>
  <si>
    <t>القطب بربيح</t>
  </si>
  <si>
    <t>المجموع</t>
  </si>
  <si>
    <t>تحضيري</t>
  </si>
  <si>
    <t>ابتدائية المجاهد قشام الميلود</t>
  </si>
  <si>
    <t>ابتدائية المجاهد بوعبدلي مصطفي بن يحي</t>
  </si>
  <si>
    <t>ابتدائية الناجمة عن تحويل مقر الحرس البلدي النعمي سلطان</t>
  </si>
  <si>
    <t>ابتدائية نمط د1 حي العمراوي تواتي محمد</t>
  </si>
  <si>
    <t>ابتدائي</t>
  </si>
  <si>
    <t xml:space="preserve">متوسط </t>
  </si>
  <si>
    <t>ثانوي</t>
  </si>
  <si>
    <t>مجموع تعداد المؤسسة</t>
  </si>
  <si>
    <t xml:space="preserve">المجموع </t>
  </si>
  <si>
    <t xml:space="preserve">صيلع مبروك - القرية </t>
  </si>
  <si>
    <t>بكاي مسعودة</t>
  </si>
  <si>
    <t xml:space="preserve">أول نوفمبر </t>
  </si>
  <si>
    <t>الأمير</t>
  </si>
  <si>
    <t>صيلع - القرية</t>
  </si>
  <si>
    <t>رقاب - المحطة</t>
  </si>
  <si>
    <t>القطب</t>
  </si>
  <si>
    <t>الإدريسية</t>
  </si>
  <si>
    <t>الشارف</t>
  </si>
  <si>
    <t>بن يعقوب</t>
  </si>
  <si>
    <t>عين الشهداء</t>
  </si>
  <si>
    <t>مجموع تعداد الوحدة</t>
  </si>
  <si>
    <t>p</t>
  </si>
  <si>
    <t>m</t>
  </si>
  <si>
    <t>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</si>
</sst>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readingOrder="2"/>
    </xf>
    <xf numFmtId="0" fontId="4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rightToLeft="1" workbookViewId="0">
      <pane ySplit="2" topLeftCell="A3" activePane="bottomLeft" state="frozen"/>
      <selection pane="bottomLeft" activeCell="A19" sqref="A19"/>
    </sheetView>
  </sheetViews>
  <sheetFormatPr baseColWidth="10" defaultColWidth="9" defaultRowHeight="15.75" customHeight="1"/>
  <cols>
    <col min="1" max="1" width="13.28515625" customWidth="1"/>
    <col min="2" max="2" width="7.28515625" bestFit="1" customWidth="1"/>
    <col min="9" max="9" width="8.42578125" customWidth="1"/>
  </cols>
  <sheetData>
    <row r="1" spans="1:15" ht="15.75" customHeight="1">
      <c r="A1" s="31" t="s">
        <v>50</v>
      </c>
      <c r="B1" s="30" t="s">
        <v>293</v>
      </c>
      <c r="C1" s="30"/>
      <c r="D1" s="30"/>
      <c r="E1" s="30"/>
      <c r="F1" s="30"/>
      <c r="G1" s="30"/>
      <c r="H1" s="30" t="s">
        <v>294</v>
      </c>
      <c r="I1" s="30"/>
      <c r="J1" s="30"/>
      <c r="K1" s="30"/>
      <c r="L1" s="30" t="s">
        <v>295</v>
      </c>
      <c r="M1" s="30"/>
      <c r="N1" s="30"/>
      <c r="O1" s="29" t="s">
        <v>309</v>
      </c>
    </row>
    <row r="2" spans="1:15" ht="15.75" customHeight="1">
      <c r="A2" s="32"/>
      <c r="B2" s="5" t="s">
        <v>288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52</v>
      </c>
      <c r="M2" s="5" t="s">
        <v>53</v>
      </c>
      <c r="N2" s="5" t="s">
        <v>54</v>
      </c>
      <c r="O2" s="29"/>
    </row>
    <row r="3" spans="1:15" ht="15.75" customHeight="1">
      <c r="A3" s="24" t="s">
        <v>57</v>
      </c>
      <c r="B3" s="4">
        <f>adila!D15</f>
        <v>322</v>
      </c>
      <c r="C3" s="4">
        <f>adila!E15</f>
        <v>865</v>
      </c>
      <c r="D3" s="4">
        <f>adila!F15</f>
        <v>1170</v>
      </c>
      <c r="E3" s="4">
        <f>adila!G15</f>
        <v>1024</v>
      </c>
      <c r="F3" s="4">
        <f>adila!H15</f>
        <v>1079</v>
      </c>
      <c r="G3" s="4">
        <f>adila!I15</f>
        <v>943</v>
      </c>
      <c r="H3" s="4">
        <f>adila!J15</f>
        <v>858</v>
      </c>
      <c r="I3" s="4">
        <f>adila!K15</f>
        <v>614</v>
      </c>
      <c r="J3" s="4">
        <f>adila!L15</f>
        <v>496</v>
      </c>
      <c r="K3" s="4">
        <f>adila!M15</f>
        <v>396</v>
      </c>
      <c r="L3" s="4">
        <f>adila!N15</f>
        <v>240</v>
      </c>
      <c r="M3" s="4">
        <f>adila!O15</f>
        <v>251</v>
      </c>
      <c r="N3" s="4">
        <f>adila!P15</f>
        <v>262</v>
      </c>
      <c r="O3" s="17">
        <f>SUM(B3:N3)</f>
        <v>8520</v>
      </c>
    </row>
    <row r="4" spans="1:15" ht="15.75" customHeight="1">
      <c r="A4" s="24" t="s">
        <v>300</v>
      </c>
      <c r="B4" s="4">
        <f>'1 nov'!D23</f>
        <v>484</v>
      </c>
      <c r="C4" s="4">
        <f>'1 nov'!E23</f>
        <v>1025</v>
      </c>
      <c r="D4" s="4">
        <f>'1 nov'!F23</f>
        <v>1199</v>
      </c>
      <c r="E4" s="4">
        <f>'1 nov'!G23</f>
        <v>1038</v>
      </c>
      <c r="F4" s="4">
        <f>'1 nov'!H23</f>
        <v>1165</v>
      </c>
      <c r="G4" s="4">
        <f>'1 nov'!I23</f>
        <v>1098</v>
      </c>
      <c r="H4" s="4">
        <f>'1 nov'!J23</f>
        <v>1746</v>
      </c>
      <c r="I4" s="4">
        <f>'1 nov'!K23</f>
        <v>1360</v>
      </c>
      <c r="J4" s="4">
        <f>'1 nov'!L23</f>
        <v>1098</v>
      </c>
      <c r="K4" s="4">
        <f>'1 nov'!M23</f>
        <v>1146</v>
      </c>
      <c r="L4" s="4">
        <f>'1 nov'!N23</f>
        <v>873</v>
      </c>
      <c r="M4" s="4">
        <f>'1 nov'!O23</f>
        <v>853</v>
      </c>
      <c r="N4" s="4">
        <f>'1 nov'!P23</f>
        <v>996</v>
      </c>
      <c r="O4" s="17">
        <f t="shared" ref="O4:O19" si="0">SUM(B4:N4)</f>
        <v>14081</v>
      </c>
    </row>
    <row r="5" spans="1:15" ht="15.75" customHeight="1">
      <c r="A5" s="24" t="s">
        <v>59</v>
      </c>
      <c r="B5" s="4">
        <f>nadjah!D26</f>
        <v>439</v>
      </c>
      <c r="C5" s="4">
        <f>nadjah!E26</f>
        <v>560</v>
      </c>
      <c r="D5" s="4">
        <f>nadjah!F26</f>
        <v>779</v>
      </c>
      <c r="E5" s="4">
        <f>nadjah!G26</f>
        <v>630</v>
      </c>
      <c r="F5" s="4">
        <f>nadjah!H26</f>
        <v>613</v>
      </c>
      <c r="G5" s="4">
        <f>nadjah!I26</f>
        <v>686</v>
      </c>
      <c r="H5" s="4">
        <f>nadjah!J26</f>
        <v>1137</v>
      </c>
      <c r="I5" s="4">
        <f>nadjah!K26</f>
        <v>947</v>
      </c>
      <c r="J5" s="4">
        <f>nadjah!L26</f>
        <v>839</v>
      </c>
      <c r="K5" s="4">
        <f>nadjah!M26</f>
        <v>655</v>
      </c>
      <c r="L5" s="4">
        <f>nadjah!N26</f>
        <v>512</v>
      </c>
      <c r="M5" s="4">
        <f>nadjah!O26</f>
        <v>409</v>
      </c>
      <c r="N5" s="4">
        <f>nadjah!P26</f>
        <v>457</v>
      </c>
      <c r="O5" s="17">
        <f t="shared" si="0"/>
        <v>8663</v>
      </c>
    </row>
    <row r="6" spans="1:15" ht="15.75" customHeight="1">
      <c r="A6" s="24" t="s">
        <v>301</v>
      </c>
      <c r="B6" s="4">
        <f>'al amir'!D21</f>
        <v>602</v>
      </c>
      <c r="C6" s="4">
        <f>'al amir'!E21</f>
        <v>621</v>
      </c>
      <c r="D6" s="4">
        <f>'al amir'!F21</f>
        <v>734</v>
      </c>
      <c r="E6" s="4">
        <f>'al amir'!G21</f>
        <v>634</v>
      </c>
      <c r="F6" s="4">
        <f>'al amir'!H21</f>
        <v>700</v>
      </c>
      <c r="G6" s="4">
        <f>'al amir'!I21</f>
        <v>708</v>
      </c>
      <c r="H6" s="4">
        <f>'al amir'!J21</f>
        <v>627</v>
      </c>
      <c r="I6" s="4">
        <f>'al amir'!K21</f>
        <v>492</v>
      </c>
      <c r="J6" s="4">
        <f>'al amir'!L21</f>
        <v>522</v>
      </c>
      <c r="K6" s="4">
        <f>'al amir'!M21</f>
        <v>561</v>
      </c>
      <c r="L6" s="4">
        <f>'al amir'!N21</f>
        <v>371</v>
      </c>
      <c r="M6" s="4">
        <f>'al amir'!O21</f>
        <v>366</v>
      </c>
      <c r="N6" s="4">
        <f>'al amir'!P21</f>
        <v>416</v>
      </c>
      <c r="O6" s="17">
        <f t="shared" si="0"/>
        <v>7354</v>
      </c>
    </row>
    <row r="7" spans="1:15" ht="15.75" customHeight="1">
      <c r="A7" s="24" t="s">
        <v>302</v>
      </c>
      <c r="B7" s="4">
        <f>'sailaa karia'!D11</f>
        <v>360</v>
      </c>
      <c r="C7" s="4">
        <f>'sailaa karia'!E11</f>
        <v>947</v>
      </c>
      <c r="D7" s="4">
        <f>'sailaa karia'!F11</f>
        <v>829</v>
      </c>
      <c r="E7" s="4">
        <f>'sailaa karia'!G11</f>
        <v>805</v>
      </c>
      <c r="F7" s="4">
        <f>'sailaa karia'!H11</f>
        <v>1043</v>
      </c>
      <c r="G7" s="4">
        <f>'sailaa karia'!I11</f>
        <v>559</v>
      </c>
      <c r="H7" s="4">
        <f>'sailaa karia'!J11</f>
        <v>515</v>
      </c>
      <c r="I7" s="4">
        <f>'sailaa karia'!K11</f>
        <v>469</v>
      </c>
      <c r="J7" s="4">
        <f>'sailaa karia'!L11</f>
        <v>412</v>
      </c>
      <c r="K7" s="4">
        <f>'sailaa karia'!M11</f>
        <v>348</v>
      </c>
      <c r="L7" s="4">
        <f>'sailaa karia'!N11</f>
        <v>155</v>
      </c>
      <c r="M7" s="4">
        <f>'sailaa karia'!O11</f>
        <v>151</v>
      </c>
      <c r="N7" s="4">
        <f>'sailaa karia'!P11</f>
        <v>189</v>
      </c>
      <c r="O7" s="22">
        <f t="shared" si="0"/>
        <v>6782</v>
      </c>
    </row>
    <row r="8" spans="1:15" ht="15.75" customHeight="1">
      <c r="A8" s="24" t="s">
        <v>61</v>
      </c>
      <c r="B8" s="4">
        <f>tahiri!D20</f>
        <v>439</v>
      </c>
      <c r="C8" s="4">
        <f>tahiri!E20</f>
        <v>616</v>
      </c>
      <c r="D8" s="4">
        <f>tahiri!F20</f>
        <v>763</v>
      </c>
      <c r="E8" s="4">
        <f>tahiri!G20</f>
        <v>633</v>
      </c>
      <c r="F8" s="4">
        <f>tahiri!H20</f>
        <v>582</v>
      </c>
      <c r="G8" s="4">
        <f>tahiri!I20</f>
        <v>644</v>
      </c>
      <c r="H8" s="4">
        <f>tahiri!J20</f>
        <v>1267</v>
      </c>
      <c r="I8" s="4">
        <f>tahiri!K20</f>
        <v>1077</v>
      </c>
      <c r="J8" s="4">
        <f>tahiri!L20</f>
        <v>960</v>
      </c>
      <c r="K8" s="4">
        <f>tahiri!M20</f>
        <v>1077</v>
      </c>
      <c r="L8" s="4">
        <f>tahiri!N20</f>
        <v>601</v>
      </c>
      <c r="M8" s="4">
        <f>tahiri!O20</f>
        <v>562</v>
      </c>
      <c r="N8" s="4">
        <f>tahiri!P20</f>
        <v>554</v>
      </c>
      <c r="O8" s="17">
        <f t="shared" si="0"/>
        <v>9775</v>
      </c>
    </row>
    <row r="9" spans="1:15" ht="15.75" customHeight="1">
      <c r="A9" s="24" t="s">
        <v>303</v>
      </c>
      <c r="B9" s="4">
        <f>'mahata rggab'!D18</f>
        <v>368</v>
      </c>
      <c r="C9" s="4">
        <f>'mahata rggab'!E18</f>
        <v>645</v>
      </c>
      <c r="D9" s="4">
        <f>'mahata rggab'!F18</f>
        <v>724</v>
      </c>
      <c r="E9" s="4">
        <f>'mahata rggab'!G18</f>
        <v>619</v>
      </c>
      <c r="F9" s="4">
        <f>'mahata rggab'!H18</f>
        <v>663</v>
      </c>
      <c r="G9" s="4">
        <f>'mahata rggab'!I18</f>
        <v>608</v>
      </c>
      <c r="H9" s="4">
        <f>'mahata rggab'!J18</f>
        <v>795</v>
      </c>
      <c r="I9" s="4">
        <f>'mahata rggab'!K18</f>
        <v>605</v>
      </c>
      <c r="J9" s="4">
        <f>'mahata rggab'!L18</f>
        <v>596</v>
      </c>
      <c r="K9" s="4">
        <f>'mahata rggab'!M18</f>
        <v>722</v>
      </c>
      <c r="L9" s="4">
        <f>'mahata rggab'!N18</f>
        <v>216</v>
      </c>
      <c r="M9" s="4">
        <f>'mahata rggab'!O18</f>
        <v>143</v>
      </c>
      <c r="N9" s="4">
        <f>'mahata rggab'!P18</f>
        <v>178</v>
      </c>
      <c r="O9" s="17">
        <f t="shared" si="0"/>
        <v>6882</v>
      </c>
    </row>
    <row r="10" spans="1:15" ht="15.75" customHeight="1">
      <c r="A10" s="24" t="s">
        <v>63</v>
      </c>
      <c r="B10" s="4">
        <f>belahrch!D17</f>
        <v>407</v>
      </c>
      <c r="C10" s="4">
        <f>belahrch!E17</f>
        <v>508</v>
      </c>
      <c r="D10" s="4">
        <f>belahrch!F17</f>
        <v>547</v>
      </c>
      <c r="E10" s="4">
        <f>belahrch!G17</f>
        <v>501</v>
      </c>
      <c r="F10" s="4">
        <f>belahrch!H17</f>
        <v>550</v>
      </c>
      <c r="G10" s="4">
        <f>belahrch!I17</f>
        <v>502</v>
      </c>
      <c r="H10" s="4">
        <f>belahrch!J17</f>
        <v>756</v>
      </c>
      <c r="I10" s="4">
        <f>belahrch!K17</f>
        <v>748</v>
      </c>
      <c r="J10" s="4">
        <f>belahrch!L17</f>
        <v>716</v>
      </c>
      <c r="K10" s="4">
        <f>belahrch!M17</f>
        <v>723</v>
      </c>
      <c r="L10" s="4">
        <f>belahrch!N17</f>
        <v>708</v>
      </c>
      <c r="M10" s="4">
        <f>belahrch!O17</f>
        <v>660</v>
      </c>
      <c r="N10" s="4">
        <f>belahrch!P17</f>
        <v>785</v>
      </c>
      <c r="O10" s="17">
        <f t="shared" si="0"/>
        <v>8111</v>
      </c>
    </row>
    <row r="11" spans="1:15" ht="15.75" customHeight="1">
      <c r="A11" s="24" t="s">
        <v>64</v>
      </c>
      <c r="B11" s="4">
        <f>bakai!D28</f>
        <v>932</v>
      </c>
      <c r="C11" s="4">
        <f>bakai!E28</f>
        <v>1212</v>
      </c>
      <c r="D11" s="4">
        <f>bakai!F28</f>
        <v>1435</v>
      </c>
      <c r="E11" s="4">
        <f>bakai!G28</f>
        <v>1314</v>
      </c>
      <c r="F11" s="4">
        <f>bakai!H28</f>
        <v>1499</v>
      </c>
      <c r="G11" s="4">
        <f>bakai!I28</f>
        <v>1267</v>
      </c>
      <c r="H11" s="4">
        <f>bakai!J28</f>
        <v>1266</v>
      </c>
      <c r="I11" s="4">
        <f>bakai!K28</f>
        <v>1212</v>
      </c>
      <c r="J11" s="4">
        <f>bakai!L28</f>
        <v>1223</v>
      </c>
      <c r="K11" s="4">
        <f>bakai!M28</f>
        <v>910</v>
      </c>
      <c r="L11" s="4">
        <f>bakai!N28</f>
        <v>727</v>
      </c>
      <c r="M11" s="4">
        <f>bakai!O28</f>
        <v>598</v>
      </c>
      <c r="N11" s="4">
        <f>bakai!P28</f>
        <v>541</v>
      </c>
      <c r="O11" s="17">
        <f t="shared" si="0"/>
        <v>14136</v>
      </c>
    </row>
    <row r="12" spans="1:15" ht="15.75" customHeight="1">
      <c r="A12" s="24" t="s">
        <v>65</v>
      </c>
      <c r="B12" s="4">
        <f>belhwadjb!D21</f>
        <v>317</v>
      </c>
      <c r="C12" s="4">
        <f>belhwadjb!E21</f>
        <v>1128</v>
      </c>
      <c r="D12" s="4">
        <f>belhwadjb!F21</f>
        <v>1271</v>
      </c>
      <c r="E12" s="4">
        <f>belhwadjb!G21</f>
        <v>1358</v>
      </c>
      <c r="F12" s="4">
        <f>belhwadjb!H21</f>
        <v>1207</v>
      </c>
      <c r="G12" s="4">
        <f>belhwadjb!I21</f>
        <v>1147</v>
      </c>
      <c r="H12" s="4">
        <f>belhwadjb!J21</f>
        <v>873</v>
      </c>
      <c r="I12" s="4">
        <f>belhwadjb!K21</f>
        <v>963</v>
      </c>
      <c r="J12" s="4">
        <f>belhwadjb!L21</f>
        <v>850</v>
      </c>
      <c r="K12" s="4">
        <f>belhwadjb!M21</f>
        <v>827</v>
      </c>
      <c r="L12" s="4">
        <f>belhwadjb!N21</f>
        <v>619</v>
      </c>
      <c r="M12" s="4">
        <f>belhwadjb!O21</f>
        <v>445</v>
      </c>
      <c r="N12" s="4">
        <f>belhwadjb!P21</f>
        <v>518</v>
      </c>
      <c r="O12" s="17">
        <f t="shared" si="0"/>
        <v>11523</v>
      </c>
    </row>
    <row r="13" spans="1:15" ht="15.75" customHeight="1">
      <c r="A13" s="24" t="s">
        <v>304</v>
      </c>
      <c r="B13" s="4">
        <f>'el kotb'!D20</f>
        <v>656</v>
      </c>
      <c r="C13" s="4">
        <f>'el kotb'!E20</f>
        <v>1029</v>
      </c>
      <c r="D13" s="4">
        <f>'el kotb'!F20</f>
        <v>1226</v>
      </c>
      <c r="E13" s="4">
        <f>'el kotb'!G20</f>
        <v>1014</v>
      </c>
      <c r="F13" s="4">
        <f>'el kotb'!H20</f>
        <v>1173</v>
      </c>
      <c r="G13" s="4">
        <f>'el kotb'!I20</f>
        <v>1014</v>
      </c>
      <c r="H13" s="4">
        <f>'el kotb'!J20</f>
        <v>1297</v>
      </c>
      <c r="I13" s="4">
        <f>'el kotb'!K20</f>
        <v>1002</v>
      </c>
      <c r="J13" s="4">
        <f>'el kotb'!L20</f>
        <v>848</v>
      </c>
      <c r="K13" s="4">
        <f>'el kotb'!M20</f>
        <v>719</v>
      </c>
      <c r="L13" s="4">
        <f>'el kotb'!N20</f>
        <v>446</v>
      </c>
      <c r="M13" s="4">
        <f>'el kotb'!O20</f>
        <v>367</v>
      </c>
      <c r="N13" s="4">
        <f>'el kotb'!P20</f>
        <v>347</v>
      </c>
      <c r="O13" s="17">
        <f t="shared" si="0"/>
        <v>11138</v>
      </c>
    </row>
    <row r="14" spans="1:15" ht="15.75" customHeight="1">
      <c r="A14" s="25" t="s">
        <v>305</v>
      </c>
      <c r="B14" s="9">
        <f>idrissia!D26</f>
        <v>521</v>
      </c>
      <c r="C14" s="9">
        <f>idrissia!E26</f>
        <v>760</v>
      </c>
      <c r="D14" s="9">
        <f>idrissia!F26</f>
        <v>1120</v>
      </c>
      <c r="E14" s="9">
        <f>idrissia!G26</f>
        <v>968</v>
      </c>
      <c r="F14" s="9">
        <f>idrissia!H26</f>
        <v>1002</v>
      </c>
      <c r="G14" s="9">
        <f>idrissia!I26</f>
        <v>826</v>
      </c>
      <c r="H14" s="9">
        <f>idrissia!J26</f>
        <v>1020</v>
      </c>
      <c r="I14" s="9">
        <f>idrissia!K26</f>
        <v>829</v>
      </c>
      <c r="J14" s="9">
        <f>idrissia!L26</f>
        <v>699</v>
      </c>
      <c r="K14" s="9">
        <f>idrissia!M26</f>
        <v>699</v>
      </c>
      <c r="L14" s="9">
        <f>idrissia!N26</f>
        <v>437</v>
      </c>
      <c r="M14" s="9">
        <f>idrissia!O26</f>
        <v>466</v>
      </c>
      <c r="N14" s="9">
        <f>idrissia!P26</f>
        <v>508</v>
      </c>
      <c r="O14" s="17">
        <f t="shared" si="0"/>
        <v>9855</v>
      </c>
    </row>
    <row r="15" spans="1:15" ht="15.75" customHeight="1">
      <c r="A15" s="25" t="s">
        <v>306</v>
      </c>
      <c r="B15" s="9">
        <f>charef!D28</f>
        <v>408</v>
      </c>
      <c r="C15" s="9">
        <f>charef!E28</f>
        <v>560</v>
      </c>
      <c r="D15" s="9">
        <f>charef!F28</f>
        <v>675</v>
      </c>
      <c r="E15" s="9">
        <f>charef!G28</f>
        <v>599</v>
      </c>
      <c r="F15" s="9">
        <f>charef!H28</f>
        <v>639</v>
      </c>
      <c r="G15" s="9">
        <f>charef!I28</f>
        <v>594</v>
      </c>
      <c r="H15" s="9">
        <f>charef!J28</f>
        <v>673</v>
      </c>
      <c r="I15" s="9">
        <f>charef!K28</f>
        <v>560</v>
      </c>
      <c r="J15" s="9">
        <f>charef!L28</f>
        <v>510</v>
      </c>
      <c r="K15" s="9">
        <f>charef!M28</f>
        <v>502</v>
      </c>
      <c r="L15" s="9">
        <f>charef!N28</f>
        <v>313</v>
      </c>
      <c r="M15" s="9">
        <f>charef!O28</f>
        <v>257</v>
      </c>
      <c r="N15" s="9">
        <f>charef!P28</f>
        <v>336</v>
      </c>
      <c r="O15" s="17">
        <f t="shared" si="0"/>
        <v>6626</v>
      </c>
    </row>
    <row r="16" spans="1:15" ht="15.75" customHeight="1">
      <c r="A16" s="26" t="s">
        <v>233</v>
      </c>
      <c r="B16" s="27">
        <f>guedid!D18</f>
        <v>197</v>
      </c>
      <c r="C16" s="27">
        <f>guedid!E18</f>
        <v>496</v>
      </c>
      <c r="D16" s="27">
        <f>guedid!F18</f>
        <v>761</v>
      </c>
      <c r="E16" s="27">
        <f>guedid!G18</f>
        <v>628</v>
      </c>
      <c r="F16" s="27">
        <f>guedid!H18</f>
        <v>632</v>
      </c>
      <c r="G16" s="27">
        <f>guedid!I18</f>
        <v>509</v>
      </c>
      <c r="H16" s="27">
        <f>guedid!J18</f>
        <v>606</v>
      </c>
      <c r="I16" s="27">
        <f>guedid!K18</f>
        <v>456</v>
      </c>
      <c r="J16" s="27">
        <f>guedid!L18</f>
        <v>396</v>
      </c>
      <c r="K16" s="27">
        <f>guedid!M18</f>
        <v>347</v>
      </c>
      <c r="L16" s="27">
        <f>guedid!N18</f>
        <v>259</v>
      </c>
      <c r="M16" s="27">
        <f>guedid!O18</f>
        <v>236</v>
      </c>
      <c r="N16" s="27">
        <f>guedid!P18</f>
        <v>170</v>
      </c>
      <c r="O16" s="17">
        <f t="shared" si="0"/>
        <v>5693</v>
      </c>
    </row>
    <row r="17" spans="1:15" ht="15.75" customHeight="1">
      <c r="A17" s="26" t="s">
        <v>307</v>
      </c>
      <c r="B17" s="27">
        <f>'ben yaagoub'!D10</f>
        <v>0</v>
      </c>
      <c r="C17" s="27">
        <f>'ben yaagoub'!E10</f>
        <v>79</v>
      </c>
      <c r="D17" s="27">
        <f>'ben yaagoub'!F10</f>
        <v>124</v>
      </c>
      <c r="E17" s="27">
        <f>'ben yaagoub'!G10</f>
        <v>119</v>
      </c>
      <c r="F17" s="27">
        <f>'ben yaagoub'!H10</f>
        <v>109</v>
      </c>
      <c r="G17" s="27">
        <f>'ben yaagoub'!I10</f>
        <v>91</v>
      </c>
      <c r="H17" s="27">
        <f>'ben yaagoub'!J10</f>
        <v>116</v>
      </c>
      <c r="I17" s="27">
        <f>'ben yaagoub'!K10</f>
        <v>86</v>
      </c>
      <c r="J17" s="27">
        <f>'ben yaagoub'!L10</f>
        <v>77</v>
      </c>
      <c r="K17" s="27">
        <f>'ben yaagoub'!M10</f>
        <v>72</v>
      </c>
      <c r="L17" s="27">
        <f>'ben yaagoub'!N10</f>
        <v>35</v>
      </c>
      <c r="M17" s="27">
        <f>'ben yaagoub'!O10</f>
        <v>48</v>
      </c>
      <c r="N17" s="27">
        <f>'ben yaagoub'!P10</f>
        <v>57</v>
      </c>
      <c r="O17" s="17">
        <f t="shared" si="0"/>
        <v>1013</v>
      </c>
    </row>
    <row r="18" spans="1:15" ht="15.75" customHeight="1">
      <c r="A18" s="26" t="s">
        <v>263</v>
      </c>
      <c r="B18" s="27">
        <f>douis!D10</f>
        <v>0</v>
      </c>
      <c r="C18" s="27">
        <f>douis!E10</f>
        <v>207</v>
      </c>
      <c r="D18" s="27">
        <f>douis!F10</f>
        <v>260</v>
      </c>
      <c r="E18" s="27">
        <f>douis!G10</f>
        <v>229</v>
      </c>
      <c r="F18" s="27">
        <f>douis!H10</f>
        <v>237</v>
      </c>
      <c r="G18" s="27">
        <f>douis!I10</f>
        <v>202</v>
      </c>
      <c r="H18" s="27">
        <f>douis!J10</f>
        <v>241</v>
      </c>
      <c r="I18" s="27">
        <f>douis!K10</f>
        <v>174</v>
      </c>
      <c r="J18" s="27">
        <f>douis!L10</f>
        <v>176</v>
      </c>
      <c r="K18" s="27">
        <f>douis!M10</f>
        <v>131</v>
      </c>
      <c r="L18" s="27">
        <f>douis!N10</f>
        <v>86</v>
      </c>
      <c r="M18" s="27">
        <f>douis!O10</f>
        <v>65</v>
      </c>
      <c r="N18" s="27">
        <f>douis!P10</f>
        <v>81</v>
      </c>
      <c r="O18" s="17">
        <f t="shared" si="0"/>
        <v>2089</v>
      </c>
    </row>
    <row r="19" spans="1:15" ht="15.75" customHeight="1">
      <c r="A19" s="26" t="s">
        <v>308</v>
      </c>
      <c r="B19" s="27">
        <f>'ain chouhadda'!D9</f>
        <v>0</v>
      </c>
      <c r="C19" s="27">
        <f>'ain chouhadda'!E9</f>
        <v>76</v>
      </c>
      <c r="D19" s="27">
        <f>'ain chouhadda'!F9</f>
        <v>117</v>
      </c>
      <c r="E19" s="27">
        <f>'ain chouhadda'!G9</f>
        <v>83</v>
      </c>
      <c r="F19" s="27">
        <f>'ain chouhadda'!H9</f>
        <v>88</v>
      </c>
      <c r="G19" s="27">
        <f>'ain chouhadda'!I9</f>
        <v>100</v>
      </c>
      <c r="H19" s="27">
        <f>'ain chouhadda'!J9</f>
        <v>87</v>
      </c>
      <c r="I19" s="27">
        <f>'ain chouhadda'!K9</f>
        <v>79</v>
      </c>
      <c r="J19" s="27">
        <f>'ain chouhadda'!L9</f>
        <v>80</v>
      </c>
      <c r="K19" s="27">
        <f>'ain chouhadda'!M9</f>
        <v>94</v>
      </c>
      <c r="L19" s="27">
        <f>'ain chouhadda'!N9</f>
        <v>0</v>
      </c>
      <c r="M19" s="27">
        <f>'ain chouhadda'!O9</f>
        <v>0</v>
      </c>
      <c r="N19" s="27">
        <f>'ain chouhadda'!P9</f>
        <v>0</v>
      </c>
      <c r="O19" s="17">
        <f t="shared" si="0"/>
        <v>804</v>
      </c>
    </row>
    <row r="20" spans="1:15" ht="15.75" customHeight="1">
      <c r="A20" s="17" t="s">
        <v>287</v>
      </c>
      <c r="B20" s="17">
        <f>SUM(B3:B19)</f>
        <v>6452</v>
      </c>
      <c r="C20" s="17">
        <f t="shared" ref="C20:O20" si="1">SUM(C3:C19)</f>
        <v>11334</v>
      </c>
      <c r="D20" s="17">
        <f t="shared" si="1"/>
        <v>13734</v>
      </c>
      <c r="E20" s="17">
        <f t="shared" si="1"/>
        <v>12196</v>
      </c>
      <c r="F20" s="17">
        <f t="shared" si="1"/>
        <v>12981</v>
      </c>
      <c r="G20" s="17">
        <f t="shared" si="1"/>
        <v>11498</v>
      </c>
      <c r="H20" s="17">
        <f t="shared" si="1"/>
        <v>13880</v>
      </c>
      <c r="I20" s="17">
        <f t="shared" si="1"/>
        <v>11673</v>
      </c>
      <c r="J20" s="17">
        <f t="shared" si="1"/>
        <v>10498</v>
      </c>
      <c r="K20" s="17">
        <f t="shared" si="1"/>
        <v>9929</v>
      </c>
      <c r="L20" s="17">
        <f t="shared" si="1"/>
        <v>6598</v>
      </c>
      <c r="M20" s="17">
        <f t="shared" si="1"/>
        <v>5877</v>
      </c>
      <c r="N20" s="17">
        <f t="shared" si="1"/>
        <v>6395</v>
      </c>
      <c r="O20" s="17">
        <f t="shared" si="1"/>
        <v>133045</v>
      </c>
    </row>
  </sheetData>
  <mergeCells count="5">
    <mergeCell ref="O1:O2"/>
    <mergeCell ref="B1:G1"/>
    <mergeCell ref="H1:K1"/>
    <mergeCell ref="L1:N1"/>
    <mergeCell ref="A1:A2"/>
  </mergeCells>
  <phoneticPr fontId="1" type="noConversion"/>
  <pageMargins left="0.7" right="0.7" top="0.75" bottom="0.75" header="0.3" footer="0.3"/>
  <pageSetup paperSize="9" scale="63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rightToLeft="1" workbookViewId="0">
      <pane ySplit="2" topLeftCell="A3" activePane="bottomLeft" state="frozen"/>
      <selection pane="bottomLeft" activeCell="C15" sqref="C15"/>
    </sheetView>
  </sheetViews>
  <sheetFormatPr baseColWidth="10" defaultColWidth="9" defaultRowHeight="15"/>
  <cols>
    <col min="1" max="1" width="13.28515625" customWidth="1"/>
    <col min="2" max="2" width="50.140625" customWidth="1"/>
    <col min="3" max="3" width="4.425781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29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29"/>
    </row>
    <row r="3" spans="1:17">
      <c r="A3" s="33" t="s">
        <v>57</v>
      </c>
      <c r="B3" s="2" t="s">
        <v>0</v>
      </c>
      <c r="C3" s="45" t="s">
        <v>310</v>
      </c>
      <c r="D3" s="4">
        <v>30</v>
      </c>
      <c r="E3" s="1">
        <v>126</v>
      </c>
      <c r="F3" s="1">
        <v>249</v>
      </c>
      <c r="G3" s="1">
        <v>214</v>
      </c>
      <c r="H3" s="1">
        <v>249</v>
      </c>
      <c r="I3" s="1">
        <v>187</v>
      </c>
      <c r="J3" s="10"/>
      <c r="K3" s="10"/>
      <c r="L3" s="10"/>
      <c r="M3" s="10"/>
      <c r="N3" s="10"/>
      <c r="O3" s="10"/>
      <c r="P3" s="10"/>
      <c r="Q3" s="14">
        <f>SUM(D3:P3)</f>
        <v>1055</v>
      </c>
    </row>
    <row r="4" spans="1:17">
      <c r="A4" s="33"/>
      <c r="B4" s="2" t="s">
        <v>66</v>
      </c>
      <c r="C4" s="45" t="s">
        <v>310</v>
      </c>
      <c r="D4" s="4">
        <v>30</v>
      </c>
      <c r="E4" s="1">
        <v>120</v>
      </c>
      <c r="F4" s="1">
        <v>146</v>
      </c>
      <c r="G4" s="1">
        <v>119</v>
      </c>
      <c r="H4" s="1">
        <v>116</v>
      </c>
      <c r="I4" s="1">
        <v>112</v>
      </c>
      <c r="J4" s="10"/>
      <c r="K4" s="10"/>
      <c r="L4" s="10"/>
      <c r="M4" s="10"/>
      <c r="N4" s="10"/>
      <c r="O4" s="10"/>
      <c r="P4" s="10"/>
      <c r="Q4" s="14">
        <f t="shared" ref="Q4:Q14" si="0">SUM(D4:P4)</f>
        <v>643</v>
      </c>
    </row>
    <row r="5" spans="1:17">
      <c r="A5" s="33"/>
      <c r="B5" s="2" t="s">
        <v>1</v>
      </c>
      <c r="C5" s="45" t="s">
        <v>310</v>
      </c>
      <c r="D5" s="4">
        <v>30</v>
      </c>
      <c r="E5" s="1">
        <v>38</v>
      </c>
      <c r="F5" s="1">
        <v>74</v>
      </c>
      <c r="G5" s="1">
        <v>95</v>
      </c>
      <c r="H5" s="1">
        <v>87</v>
      </c>
      <c r="I5" s="1">
        <v>62</v>
      </c>
      <c r="J5" s="10"/>
      <c r="K5" s="10"/>
      <c r="L5" s="10"/>
      <c r="M5" s="10"/>
      <c r="N5" s="10"/>
      <c r="O5" s="10"/>
      <c r="P5" s="10"/>
      <c r="Q5" s="14">
        <f t="shared" si="0"/>
        <v>386</v>
      </c>
    </row>
    <row r="6" spans="1:17">
      <c r="A6" s="33"/>
      <c r="B6" s="2" t="s">
        <v>67</v>
      </c>
      <c r="C6" s="45" t="s">
        <v>310</v>
      </c>
      <c r="D6" s="4">
        <v>30</v>
      </c>
      <c r="E6" s="1">
        <v>153</v>
      </c>
      <c r="F6" s="1">
        <v>143</v>
      </c>
      <c r="G6" s="1">
        <v>112</v>
      </c>
      <c r="H6" s="1">
        <v>117</v>
      </c>
      <c r="I6" s="1">
        <v>96</v>
      </c>
      <c r="J6" s="10"/>
      <c r="K6" s="10"/>
      <c r="L6" s="10"/>
      <c r="M6" s="10"/>
      <c r="N6" s="10"/>
      <c r="O6" s="10"/>
      <c r="P6" s="10"/>
      <c r="Q6" s="14">
        <f t="shared" si="0"/>
        <v>651</v>
      </c>
    </row>
    <row r="7" spans="1:17">
      <c r="A7" s="33"/>
      <c r="B7" s="2" t="s">
        <v>68</v>
      </c>
      <c r="C7" s="45" t="s">
        <v>310</v>
      </c>
      <c r="D7" s="4">
        <v>35</v>
      </c>
      <c r="E7" s="1">
        <v>116</v>
      </c>
      <c r="F7" s="1">
        <v>147</v>
      </c>
      <c r="G7" s="1">
        <v>143</v>
      </c>
      <c r="H7" s="1">
        <v>128</v>
      </c>
      <c r="I7" s="1">
        <v>177</v>
      </c>
      <c r="J7" s="10"/>
      <c r="K7" s="10"/>
      <c r="L7" s="10"/>
      <c r="M7" s="10"/>
      <c r="N7" s="10"/>
      <c r="O7" s="10"/>
      <c r="P7" s="10"/>
      <c r="Q7" s="20">
        <f t="shared" si="0"/>
        <v>746</v>
      </c>
    </row>
    <row r="8" spans="1:17">
      <c r="A8" s="33"/>
      <c r="B8" s="2" t="s">
        <v>69</v>
      </c>
      <c r="C8" s="45" t="s">
        <v>310</v>
      </c>
      <c r="D8" s="4">
        <v>35</v>
      </c>
      <c r="E8" s="1">
        <v>146</v>
      </c>
      <c r="F8" s="1">
        <v>173</v>
      </c>
      <c r="G8" s="1">
        <v>166</v>
      </c>
      <c r="H8" s="1">
        <v>190</v>
      </c>
      <c r="I8" s="1">
        <v>138</v>
      </c>
      <c r="J8" s="10"/>
      <c r="K8" s="10"/>
      <c r="L8" s="10"/>
      <c r="M8" s="10"/>
      <c r="N8" s="10"/>
      <c r="O8" s="10"/>
      <c r="P8" s="10"/>
      <c r="Q8" s="14">
        <f t="shared" si="0"/>
        <v>848</v>
      </c>
    </row>
    <row r="9" spans="1:17">
      <c r="A9" s="33"/>
      <c r="B9" s="2" t="s">
        <v>2</v>
      </c>
      <c r="C9" s="45" t="s">
        <v>310</v>
      </c>
      <c r="D9" s="4">
        <v>40</v>
      </c>
      <c r="E9" s="1">
        <v>83</v>
      </c>
      <c r="F9" s="1">
        <v>100</v>
      </c>
      <c r="G9" s="1">
        <v>73</v>
      </c>
      <c r="H9" s="1">
        <v>92</v>
      </c>
      <c r="I9" s="1">
        <v>80</v>
      </c>
      <c r="J9" s="10"/>
      <c r="K9" s="10"/>
      <c r="L9" s="10"/>
      <c r="M9" s="10"/>
      <c r="N9" s="10"/>
      <c r="O9" s="10"/>
      <c r="P9" s="10"/>
      <c r="Q9" s="14">
        <f t="shared" si="0"/>
        <v>468</v>
      </c>
    </row>
    <row r="10" spans="1:17">
      <c r="A10" s="33"/>
      <c r="B10" s="2" t="s">
        <v>70</v>
      </c>
      <c r="C10" s="45" t="s">
        <v>310</v>
      </c>
      <c r="D10" s="4">
        <v>40</v>
      </c>
      <c r="E10" s="1">
        <v>36</v>
      </c>
      <c r="F10" s="1">
        <v>74</v>
      </c>
      <c r="G10" s="1">
        <v>58</v>
      </c>
      <c r="H10" s="1">
        <v>59</v>
      </c>
      <c r="I10" s="1">
        <v>51</v>
      </c>
      <c r="J10" s="10"/>
      <c r="K10" s="10"/>
      <c r="L10" s="10"/>
      <c r="M10" s="10"/>
      <c r="N10" s="10"/>
      <c r="O10" s="10"/>
      <c r="P10" s="10"/>
      <c r="Q10" s="14">
        <f t="shared" si="0"/>
        <v>318</v>
      </c>
    </row>
    <row r="11" spans="1:17">
      <c r="A11" s="33"/>
      <c r="B11" s="2" t="s">
        <v>71</v>
      </c>
      <c r="C11" s="45" t="s">
        <v>310</v>
      </c>
      <c r="D11" s="4">
        <v>30</v>
      </c>
      <c r="E11" s="1">
        <v>7</v>
      </c>
      <c r="F11" s="1">
        <v>10</v>
      </c>
      <c r="G11" s="1">
        <v>7</v>
      </c>
      <c r="H11" s="1">
        <v>5</v>
      </c>
      <c r="I11" s="1">
        <v>7</v>
      </c>
      <c r="J11" s="10"/>
      <c r="K11" s="10"/>
      <c r="L11" s="10"/>
      <c r="M11" s="10"/>
      <c r="N11" s="10"/>
      <c r="O11" s="10"/>
      <c r="P11" s="10"/>
      <c r="Q11" s="14">
        <f t="shared" si="0"/>
        <v>66</v>
      </c>
    </row>
    <row r="12" spans="1:17" ht="15.75" customHeight="1">
      <c r="A12" s="33"/>
      <c r="B12" s="2" t="s">
        <v>291</v>
      </c>
      <c r="C12" s="45" t="s">
        <v>310</v>
      </c>
      <c r="D12" s="4">
        <v>22</v>
      </c>
      <c r="E12" s="1">
        <v>40</v>
      </c>
      <c r="F12" s="1">
        <v>54</v>
      </c>
      <c r="G12" s="1">
        <v>37</v>
      </c>
      <c r="H12" s="1">
        <v>36</v>
      </c>
      <c r="I12" s="1">
        <v>33</v>
      </c>
      <c r="J12" s="10"/>
      <c r="K12" s="10"/>
      <c r="L12" s="10"/>
      <c r="M12" s="10"/>
      <c r="N12" s="10"/>
      <c r="O12" s="10"/>
      <c r="P12" s="10"/>
      <c r="Q12" s="14">
        <f t="shared" si="0"/>
        <v>222</v>
      </c>
    </row>
    <row r="13" spans="1:17">
      <c r="A13" s="33"/>
      <c r="B13" s="2" t="s">
        <v>72</v>
      </c>
      <c r="C13" s="45" t="s">
        <v>311</v>
      </c>
      <c r="D13" s="4"/>
      <c r="E13" s="1"/>
      <c r="F13" s="1"/>
      <c r="G13" s="1"/>
      <c r="H13" s="1"/>
      <c r="I13" s="1"/>
      <c r="J13" s="1">
        <v>858</v>
      </c>
      <c r="K13" s="1">
        <v>614</v>
      </c>
      <c r="L13" s="1">
        <v>496</v>
      </c>
      <c r="M13" s="1">
        <v>396</v>
      </c>
      <c r="N13" s="10"/>
      <c r="O13" s="10"/>
      <c r="P13" s="10"/>
      <c r="Q13" s="14">
        <f t="shared" si="0"/>
        <v>2364</v>
      </c>
    </row>
    <row r="14" spans="1:17">
      <c r="A14" s="34"/>
      <c r="B14" s="3" t="s">
        <v>73</v>
      </c>
      <c r="C14" s="46" t="s">
        <v>312</v>
      </c>
      <c r="D14" s="9"/>
      <c r="E14" s="7"/>
      <c r="F14" s="7"/>
      <c r="G14" s="7"/>
      <c r="H14" s="7"/>
      <c r="I14" s="7"/>
      <c r="J14" s="12"/>
      <c r="K14" s="12"/>
      <c r="L14" s="12"/>
      <c r="M14" s="12"/>
      <c r="N14" s="7">
        <v>240</v>
      </c>
      <c r="O14" s="7">
        <v>251</v>
      </c>
      <c r="P14" s="7">
        <v>262</v>
      </c>
      <c r="Q14" s="14">
        <f t="shared" si="0"/>
        <v>753</v>
      </c>
    </row>
    <row r="15" spans="1:17">
      <c r="A15" s="13" t="s">
        <v>287</v>
      </c>
      <c r="B15" s="13"/>
      <c r="C15" s="14"/>
      <c r="D15" s="14">
        <f>SUM(D3:D14)</f>
        <v>322</v>
      </c>
      <c r="E15" s="14">
        <f t="shared" ref="E15:P15" si="1">SUM(E3:E14)</f>
        <v>865</v>
      </c>
      <c r="F15" s="14">
        <f t="shared" si="1"/>
        <v>1170</v>
      </c>
      <c r="G15" s="14">
        <f t="shared" si="1"/>
        <v>1024</v>
      </c>
      <c r="H15" s="14">
        <f t="shared" si="1"/>
        <v>1079</v>
      </c>
      <c r="I15" s="14">
        <f t="shared" si="1"/>
        <v>943</v>
      </c>
      <c r="J15" s="14">
        <f t="shared" si="1"/>
        <v>858</v>
      </c>
      <c r="K15" s="14">
        <f t="shared" si="1"/>
        <v>614</v>
      </c>
      <c r="L15" s="14">
        <f t="shared" si="1"/>
        <v>496</v>
      </c>
      <c r="M15" s="14">
        <f t="shared" si="1"/>
        <v>396</v>
      </c>
      <c r="N15" s="14">
        <f t="shared" si="1"/>
        <v>240</v>
      </c>
      <c r="O15" s="14">
        <f t="shared" si="1"/>
        <v>251</v>
      </c>
      <c r="P15" s="14">
        <f t="shared" si="1"/>
        <v>262</v>
      </c>
      <c r="Q15" s="14">
        <f>SUM(Q3:Q14)</f>
        <v>8520</v>
      </c>
    </row>
  </sheetData>
  <mergeCells count="7">
    <mergeCell ref="N1:P1"/>
    <mergeCell ref="Q1:Q2"/>
    <mergeCell ref="A3:A14"/>
    <mergeCell ref="A1:A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"/>
  <sheetViews>
    <sheetView rightToLeft="1" workbookViewId="0">
      <pane ySplit="2" topLeftCell="A3" activePane="bottomLeft" state="frozen"/>
      <selection pane="bottomLeft" activeCell="C20" sqref="C20:C22"/>
    </sheetView>
  </sheetViews>
  <sheetFormatPr baseColWidth="10" defaultColWidth="9" defaultRowHeight="15"/>
  <cols>
    <col min="1" max="1" width="13.28515625" customWidth="1"/>
    <col min="2" max="2" width="40.5703125" customWidth="1"/>
    <col min="3" max="3" width="6.85546875" style="47" customWidth="1"/>
    <col min="4" max="4" width="7.28515625" bestFit="1" customWidth="1"/>
    <col min="11" max="11" width="8.42578125" customWidth="1"/>
  </cols>
  <sheetData>
    <row r="1" spans="1:17">
      <c r="A1" s="35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36" t="s">
        <v>296</v>
      </c>
    </row>
    <row r="2" spans="1:17">
      <c r="A2" s="35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36"/>
    </row>
    <row r="3" spans="1:17">
      <c r="A3" s="37" t="s">
        <v>58</v>
      </c>
      <c r="B3" s="2" t="s">
        <v>74</v>
      </c>
      <c r="C3" s="45" t="s">
        <v>310</v>
      </c>
      <c r="D3" s="4">
        <v>45</v>
      </c>
      <c r="E3" s="1">
        <v>121</v>
      </c>
      <c r="F3" s="1">
        <v>139</v>
      </c>
      <c r="G3" s="1">
        <v>94</v>
      </c>
      <c r="H3" s="1">
        <v>101</v>
      </c>
      <c r="I3" s="1">
        <v>108</v>
      </c>
      <c r="J3" s="10"/>
      <c r="K3" s="10"/>
      <c r="L3" s="10"/>
      <c r="M3" s="10"/>
      <c r="N3" s="10"/>
      <c r="O3" s="10"/>
      <c r="P3" s="10"/>
      <c r="Q3" s="14">
        <f>SUM(D3:P3)</f>
        <v>608</v>
      </c>
    </row>
    <row r="4" spans="1:17">
      <c r="A4" s="37"/>
      <c r="B4" s="2" t="s">
        <v>3</v>
      </c>
      <c r="C4" s="45" t="s">
        <v>310</v>
      </c>
      <c r="D4" s="4">
        <v>50</v>
      </c>
      <c r="E4" s="1">
        <v>117</v>
      </c>
      <c r="F4" s="1">
        <v>133</v>
      </c>
      <c r="G4" s="1">
        <v>121</v>
      </c>
      <c r="H4" s="1">
        <v>121</v>
      </c>
      <c r="I4" s="1">
        <v>117</v>
      </c>
      <c r="J4" s="10"/>
      <c r="K4" s="10"/>
      <c r="L4" s="10"/>
      <c r="M4" s="10"/>
      <c r="N4" s="10"/>
      <c r="O4" s="10"/>
      <c r="P4" s="10"/>
      <c r="Q4" s="14">
        <f t="shared" ref="Q4:Q23" si="0">SUM(D4:P4)</f>
        <v>659</v>
      </c>
    </row>
    <row r="5" spans="1:17">
      <c r="A5" s="37"/>
      <c r="B5" s="2" t="s">
        <v>4</v>
      </c>
      <c r="C5" s="45" t="s">
        <v>310</v>
      </c>
      <c r="D5" s="4">
        <v>33</v>
      </c>
      <c r="E5" s="1">
        <v>69</v>
      </c>
      <c r="F5" s="1">
        <v>58</v>
      </c>
      <c r="G5" s="1">
        <v>56</v>
      </c>
      <c r="H5" s="1">
        <v>66</v>
      </c>
      <c r="I5" s="1">
        <v>52</v>
      </c>
      <c r="J5" s="10"/>
      <c r="K5" s="10"/>
      <c r="L5" s="10"/>
      <c r="M5" s="10"/>
      <c r="N5" s="10"/>
      <c r="O5" s="10"/>
      <c r="P5" s="10"/>
      <c r="Q5" s="14">
        <f t="shared" si="0"/>
        <v>334</v>
      </c>
    </row>
    <row r="6" spans="1:17" ht="17.25" customHeight="1">
      <c r="A6" s="37"/>
      <c r="B6" s="6" t="s">
        <v>75</v>
      </c>
      <c r="C6" s="45" t="s">
        <v>310</v>
      </c>
      <c r="D6" s="4">
        <v>45</v>
      </c>
      <c r="E6" s="1">
        <v>57</v>
      </c>
      <c r="F6" s="1">
        <v>93</v>
      </c>
      <c r="G6" s="1">
        <v>96</v>
      </c>
      <c r="H6" s="1">
        <v>112</v>
      </c>
      <c r="I6" s="1">
        <v>104</v>
      </c>
      <c r="J6" s="10"/>
      <c r="K6" s="10"/>
      <c r="L6" s="10"/>
      <c r="M6" s="10"/>
      <c r="N6" s="10"/>
      <c r="O6" s="10"/>
      <c r="P6" s="10"/>
      <c r="Q6" s="14">
        <f t="shared" si="0"/>
        <v>507</v>
      </c>
    </row>
    <row r="7" spans="1:17">
      <c r="A7" s="37"/>
      <c r="B7" s="2" t="s">
        <v>76</v>
      </c>
      <c r="C7" s="45" t="s">
        <v>310</v>
      </c>
      <c r="D7" s="4">
        <v>33</v>
      </c>
      <c r="E7" s="1">
        <v>115</v>
      </c>
      <c r="F7" s="1">
        <v>134</v>
      </c>
      <c r="G7" s="1">
        <v>128</v>
      </c>
      <c r="H7" s="1">
        <v>136</v>
      </c>
      <c r="I7" s="1">
        <v>123</v>
      </c>
      <c r="J7" s="10"/>
      <c r="K7" s="10"/>
      <c r="L7" s="10"/>
      <c r="M7" s="10"/>
      <c r="N7" s="10"/>
      <c r="O7" s="10"/>
      <c r="P7" s="10"/>
      <c r="Q7" s="14">
        <f t="shared" si="0"/>
        <v>669</v>
      </c>
    </row>
    <row r="8" spans="1:17">
      <c r="A8" s="37"/>
      <c r="B8" s="2" t="s">
        <v>5</v>
      </c>
      <c r="C8" s="45" t="s">
        <v>310</v>
      </c>
      <c r="D8" s="4">
        <v>35</v>
      </c>
      <c r="E8" s="1">
        <v>125</v>
      </c>
      <c r="F8" s="1">
        <v>149</v>
      </c>
      <c r="G8" s="1">
        <v>112</v>
      </c>
      <c r="H8" s="1">
        <v>132</v>
      </c>
      <c r="I8" s="1">
        <v>128</v>
      </c>
      <c r="J8" s="10"/>
      <c r="K8" s="10"/>
      <c r="L8" s="10"/>
      <c r="M8" s="10"/>
      <c r="N8" s="10"/>
      <c r="O8" s="10"/>
      <c r="P8" s="10"/>
      <c r="Q8" s="14">
        <f t="shared" si="0"/>
        <v>681</v>
      </c>
    </row>
    <row r="9" spans="1:17">
      <c r="A9" s="37"/>
      <c r="B9" s="2" t="s">
        <v>77</v>
      </c>
      <c r="C9" s="45" t="s">
        <v>310</v>
      </c>
      <c r="D9" s="4">
        <v>29</v>
      </c>
      <c r="E9" s="1">
        <v>51</v>
      </c>
      <c r="F9" s="1">
        <v>71</v>
      </c>
      <c r="G9" s="1">
        <v>46</v>
      </c>
      <c r="H9" s="1">
        <v>65</v>
      </c>
      <c r="I9" s="1">
        <v>76</v>
      </c>
      <c r="J9" s="10"/>
      <c r="K9" s="10"/>
      <c r="L9" s="10"/>
      <c r="M9" s="10"/>
      <c r="N9" s="10"/>
      <c r="O9" s="10"/>
      <c r="P9" s="10"/>
      <c r="Q9" s="14">
        <f t="shared" si="0"/>
        <v>338</v>
      </c>
    </row>
    <row r="10" spans="1:17">
      <c r="A10" s="37"/>
      <c r="B10" s="2" t="s">
        <v>6</v>
      </c>
      <c r="C10" s="45" t="s">
        <v>310</v>
      </c>
      <c r="D10" s="4">
        <v>55</v>
      </c>
      <c r="E10" s="1">
        <v>82</v>
      </c>
      <c r="F10" s="1">
        <v>117</v>
      </c>
      <c r="G10" s="1">
        <v>112</v>
      </c>
      <c r="H10" s="1">
        <v>107</v>
      </c>
      <c r="I10" s="1">
        <v>110</v>
      </c>
      <c r="J10" s="10"/>
      <c r="K10" s="10"/>
      <c r="L10" s="10"/>
      <c r="M10" s="10"/>
      <c r="N10" s="10"/>
      <c r="O10" s="10"/>
      <c r="P10" s="10"/>
      <c r="Q10" s="14">
        <f t="shared" si="0"/>
        <v>583</v>
      </c>
    </row>
    <row r="11" spans="1:17">
      <c r="A11" s="37"/>
      <c r="B11" s="2" t="s">
        <v>78</v>
      </c>
      <c r="C11" s="45" t="s">
        <v>310</v>
      </c>
      <c r="D11" s="4">
        <v>56</v>
      </c>
      <c r="E11" s="1">
        <v>98</v>
      </c>
      <c r="F11" s="1">
        <v>95</v>
      </c>
      <c r="G11" s="1">
        <v>90</v>
      </c>
      <c r="H11" s="1">
        <v>113</v>
      </c>
      <c r="I11" s="1">
        <v>119</v>
      </c>
      <c r="J11" s="10"/>
      <c r="K11" s="10"/>
      <c r="L11" s="10"/>
      <c r="M11" s="10"/>
      <c r="N11" s="10"/>
      <c r="O11" s="10"/>
      <c r="P11" s="10"/>
      <c r="Q11" s="14">
        <f t="shared" si="0"/>
        <v>571</v>
      </c>
    </row>
    <row r="12" spans="1:17">
      <c r="A12" s="37"/>
      <c r="B12" s="2" t="s">
        <v>79</v>
      </c>
      <c r="C12" s="45" t="s">
        <v>310</v>
      </c>
      <c r="D12" s="4">
        <v>50</v>
      </c>
      <c r="E12" s="1">
        <v>142</v>
      </c>
      <c r="F12" s="1">
        <v>149</v>
      </c>
      <c r="G12" s="1">
        <v>127</v>
      </c>
      <c r="H12" s="1">
        <v>161</v>
      </c>
      <c r="I12" s="1">
        <v>117</v>
      </c>
      <c r="J12" s="10"/>
      <c r="K12" s="10"/>
      <c r="L12" s="10"/>
      <c r="M12" s="10"/>
      <c r="N12" s="10"/>
      <c r="O12" s="10"/>
      <c r="P12" s="10"/>
      <c r="Q12" s="14">
        <f t="shared" si="0"/>
        <v>746</v>
      </c>
    </row>
    <row r="13" spans="1:17">
      <c r="A13" s="37"/>
      <c r="B13" s="2" t="s">
        <v>292</v>
      </c>
      <c r="C13" s="45" t="s">
        <v>310</v>
      </c>
      <c r="D13" s="4">
        <v>53</v>
      </c>
      <c r="E13" s="1">
        <v>48</v>
      </c>
      <c r="F13" s="1">
        <v>61</v>
      </c>
      <c r="G13" s="1">
        <v>56</v>
      </c>
      <c r="H13" s="1">
        <v>51</v>
      </c>
      <c r="I13" s="1">
        <v>44</v>
      </c>
      <c r="J13" s="10"/>
      <c r="K13" s="10"/>
      <c r="L13" s="10"/>
      <c r="M13" s="10"/>
      <c r="N13" s="10"/>
      <c r="O13" s="10"/>
      <c r="P13" s="10"/>
      <c r="Q13" s="14">
        <f t="shared" si="0"/>
        <v>313</v>
      </c>
    </row>
    <row r="14" spans="1:17">
      <c r="A14" s="37"/>
      <c r="B14" s="2" t="s">
        <v>80</v>
      </c>
      <c r="C14" s="45" t="s">
        <v>311</v>
      </c>
      <c r="D14" s="4"/>
      <c r="E14" s="1"/>
      <c r="F14" s="1"/>
      <c r="G14" s="1"/>
      <c r="H14" s="1"/>
      <c r="I14" s="1"/>
      <c r="J14" s="1">
        <v>272</v>
      </c>
      <c r="K14" s="1">
        <v>255</v>
      </c>
      <c r="L14" s="1">
        <v>243</v>
      </c>
      <c r="M14" s="1">
        <v>259</v>
      </c>
      <c r="N14" s="10"/>
      <c r="O14" s="10"/>
      <c r="P14" s="10"/>
      <c r="Q14" s="14">
        <f t="shared" si="0"/>
        <v>1029</v>
      </c>
    </row>
    <row r="15" spans="1:17">
      <c r="A15" s="37"/>
      <c r="B15" s="2" t="s">
        <v>81</v>
      </c>
      <c r="C15" s="45" t="s">
        <v>311</v>
      </c>
      <c r="D15" s="4"/>
      <c r="E15" s="1"/>
      <c r="F15" s="1"/>
      <c r="G15" s="1"/>
      <c r="H15" s="1"/>
      <c r="I15" s="1"/>
      <c r="J15" s="1">
        <v>424</v>
      </c>
      <c r="K15" s="1">
        <v>245</v>
      </c>
      <c r="L15" s="1">
        <v>184</v>
      </c>
      <c r="M15" s="1">
        <v>203</v>
      </c>
      <c r="N15" s="10"/>
      <c r="O15" s="10"/>
      <c r="P15" s="10"/>
      <c r="Q15" s="14">
        <f t="shared" si="0"/>
        <v>1056</v>
      </c>
    </row>
    <row r="16" spans="1:17">
      <c r="A16" s="37"/>
      <c r="B16" s="2" t="s">
        <v>7</v>
      </c>
      <c r="C16" s="45" t="s">
        <v>311</v>
      </c>
      <c r="D16" s="4"/>
      <c r="E16" s="1"/>
      <c r="F16" s="1"/>
      <c r="G16" s="1"/>
      <c r="H16" s="1"/>
      <c r="I16" s="1"/>
      <c r="J16" s="1">
        <v>261</v>
      </c>
      <c r="K16" s="1">
        <v>198</v>
      </c>
      <c r="L16" s="1">
        <v>206</v>
      </c>
      <c r="M16" s="1">
        <v>223</v>
      </c>
      <c r="N16" s="10"/>
      <c r="O16" s="10"/>
      <c r="P16" s="10"/>
      <c r="Q16" s="14">
        <f t="shared" si="0"/>
        <v>888</v>
      </c>
    </row>
    <row r="17" spans="1:17">
      <c r="A17" s="37"/>
      <c r="B17" s="2" t="s">
        <v>82</v>
      </c>
      <c r="C17" s="45" t="s">
        <v>311</v>
      </c>
      <c r="D17" s="4"/>
      <c r="E17" s="1"/>
      <c r="F17" s="1"/>
      <c r="G17" s="1"/>
      <c r="H17" s="1"/>
      <c r="I17" s="1"/>
      <c r="J17" s="1">
        <v>135</v>
      </c>
      <c r="K17" s="1">
        <v>84</v>
      </c>
      <c r="L17" s="1">
        <v>95</v>
      </c>
      <c r="M17" s="1">
        <v>135</v>
      </c>
      <c r="N17" s="10"/>
      <c r="O17" s="10"/>
      <c r="P17" s="10"/>
      <c r="Q17" s="14">
        <f t="shared" si="0"/>
        <v>449</v>
      </c>
    </row>
    <row r="18" spans="1:17">
      <c r="A18" s="37"/>
      <c r="B18" s="2" t="s">
        <v>83</v>
      </c>
      <c r="C18" s="45" t="s">
        <v>311</v>
      </c>
      <c r="D18" s="4"/>
      <c r="E18" s="1"/>
      <c r="F18" s="1"/>
      <c r="G18" s="1"/>
      <c r="H18" s="1"/>
      <c r="I18" s="1"/>
      <c r="J18" s="1">
        <v>342</v>
      </c>
      <c r="K18" s="1">
        <v>292</v>
      </c>
      <c r="L18" s="1">
        <v>195</v>
      </c>
      <c r="M18" s="1">
        <v>95</v>
      </c>
      <c r="N18" s="10"/>
      <c r="O18" s="10"/>
      <c r="P18" s="10"/>
      <c r="Q18" s="14">
        <f t="shared" si="0"/>
        <v>924</v>
      </c>
    </row>
    <row r="19" spans="1:17">
      <c r="A19" s="37"/>
      <c r="B19" s="2" t="s">
        <v>8</v>
      </c>
      <c r="C19" s="45" t="s">
        <v>311</v>
      </c>
      <c r="D19" s="4"/>
      <c r="E19" s="1"/>
      <c r="F19" s="1"/>
      <c r="G19" s="1"/>
      <c r="H19" s="1"/>
      <c r="I19" s="1"/>
      <c r="J19" s="1">
        <v>312</v>
      </c>
      <c r="K19" s="1">
        <v>286</v>
      </c>
      <c r="L19" s="1">
        <v>175</v>
      </c>
      <c r="M19" s="1">
        <v>231</v>
      </c>
      <c r="N19" s="10"/>
      <c r="O19" s="10"/>
      <c r="P19" s="10"/>
      <c r="Q19" s="14">
        <f t="shared" si="0"/>
        <v>1004</v>
      </c>
    </row>
    <row r="20" spans="1:17">
      <c r="A20" s="37"/>
      <c r="B20" s="2" t="s">
        <v>84</v>
      </c>
      <c r="C20" s="45" t="s">
        <v>312</v>
      </c>
      <c r="D20" s="4"/>
      <c r="E20" s="1"/>
      <c r="F20" s="1"/>
      <c r="G20" s="1"/>
      <c r="H20" s="1"/>
      <c r="I20" s="1"/>
      <c r="J20" s="10"/>
      <c r="K20" s="10"/>
      <c r="L20" s="10"/>
      <c r="M20" s="10"/>
      <c r="N20" s="1">
        <v>231</v>
      </c>
      <c r="O20" s="1">
        <v>247</v>
      </c>
      <c r="P20" s="1">
        <v>330</v>
      </c>
      <c r="Q20" s="14">
        <f t="shared" si="0"/>
        <v>808</v>
      </c>
    </row>
    <row r="21" spans="1:17">
      <c r="A21" s="37"/>
      <c r="B21" s="2" t="s">
        <v>85</v>
      </c>
      <c r="C21" s="45" t="s">
        <v>312</v>
      </c>
      <c r="D21" s="4"/>
      <c r="E21" s="1"/>
      <c r="F21" s="1"/>
      <c r="G21" s="1"/>
      <c r="H21" s="1"/>
      <c r="I21" s="1"/>
      <c r="J21" s="10"/>
      <c r="K21" s="10"/>
      <c r="L21" s="10"/>
      <c r="M21" s="10"/>
      <c r="N21" s="1">
        <v>350</v>
      </c>
      <c r="O21" s="1">
        <v>355</v>
      </c>
      <c r="P21" s="1">
        <v>436</v>
      </c>
      <c r="Q21" s="14">
        <f t="shared" si="0"/>
        <v>1141</v>
      </c>
    </row>
    <row r="22" spans="1:17">
      <c r="A22" s="37"/>
      <c r="B22" s="2" t="s">
        <v>86</v>
      </c>
      <c r="C22" s="45" t="s">
        <v>312</v>
      </c>
      <c r="D22" s="4"/>
      <c r="E22" s="1"/>
      <c r="F22" s="1"/>
      <c r="G22" s="1"/>
      <c r="H22" s="1"/>
      <c r="I22" s="1"/>
      <c r="J22" s="10"/>
      <c r="K22" s="10"/>
      <c r="L22" s="10"/>
      <c r="M22" s="10"/>
      <c r="N22" s="1">
        <v>292</v>
      </c>
      <c r="O22" s="1">
        <v>251</v>
      </c>
      <c r="P22" s="1">
        <v>230</v>
      </c>
      <c r="Q22" s="14">
        <f t="shared" si="0"/>
        <v>773</v>
      </c>
    </row>
    <row r="23" spans="1:17">
      <c r="A23" s="14" t="s">
        <v>287</v>
      </c>
      <c r="B23" s="14"/>
      <c r="C23" s="14"/>
      <c r="D23" s="14">
        <f>SUM(D3:D22)</f>
        <v>484</v>
      </c>
      <c r="E23" s="14">
        <f t="shared" ref="E23:P23" si="1">SUM(E3:E22)</f>
        <v>1025</v>
      </c>
      <c r="F23" s="14">
        <f t="shared" si="1"/>
        <v>1199</v>
      </c>
      <c r="G23" s="14">
        <f t="shared" si="1"/>
        <v>1038</v>
      </c>
      <c r="H23" s="14">
        <f t="shared" si="1"/>
        <v>1165</v>
      </c>
      <c r="I23" s="14">
        <f t="shared" si="1"/>
        <v>1098</v>
      </c>
      <c r="J23" s="14">
        <f t="shared" si="1"/>
        <v>1746</v>
      </c>
      <c r="K23" s="14">
        <f t="shared" si="1"/>
        <v>1360</v>
      </c>
      <c r="L23" s="14">
        <f t="shared" si="1"/>
        <v>1098</v>
      </c>
      <c r="M23" s="14">
        <f t="shared" si="1"/>
        <v>1146</v>
      </c>
      <c r="N23" s="14">
        <f t="shared" si="1"/>
        <v>873</v>
      </c>
      <c r="O23" s="14">
        <f t="shared" si="1"/>
        <v>853</v>
      </c>
      <c r="P23" s="14">
        <f t="shared" si="1"/>
        <v>996</v>
      </c>
      <c r="Q23" s="14">
        <f t="shared" si="0"/>
        <v>14081</v>
      </c>
    </row>
  </sheetData>
  <mergeCells count="7">
    <mergeCell ref="N1:P1"/>
    <mergeCell ref="Q1:Q2"/>
    <mergeCell ref="A1:A2"/>
    <mergeCell ref="A3:A2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6"/>
  <sheetViews>
    <sheetView rightToLeft="1" workbookViewId="0">
      <pane ySplit="2" topLeftCell="A6" activePane="bottomLeft" state="frozen"/>
      <selection pane="bottomLeft" activeCell="C26" sqref="C26"/>
    </sheetView>
  </sheetViews>
  <sheetFormatPr baseColWidth="10" defaultColWidth="9" defaultRowHeight="15.75" customHeight="1"/>
  <cols>
    <col min="1" max="1" width="13.28515625" customWidth="1"/>
    <col min="2" max="2" width="41.85546875" customWidth="1"/>
    <col min="3" max="3" width="7.42578125" style="47" customWidth="1"/>
    <col min="4" max="4" width="7.28515625" bestFit="1" customWidth="1"/>
    <col min="11" max="11" width="8.42578125" customWidth="1"/>
  </cols>
  <sheetData>
    <row r="1" spans="1:17" ht="15.75" customHeight="1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36" t="s">
        <v>296</v>
      </c>
    </row>
    <row r="2" spans="1:17" ht="15.75" customHeight="1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36"/>
    </row>
    <row r="3" spans="1:17" ht="15.75" customHeight="1">
      <c r="A3" s="33" t="s">
        <v>59</v>
      </c>
      <c r="B3" s="2" t="s">
        <v>176</v>
      </c>
      <c r="C3" s="45" t="s">
        <v>310</v>
      </c>
      <c r="D3" s="4">
        <v>32</v>
      </c>
      <c r="E3" s="1">
        <v>49</v>
      </c>
      <c r="F3" s="1">
        <v>56</v>
      </c>
      <c r="G3" s="1">
        <v>49</v>
      </c>
      <c r="H3" s="1">
        <v>39</v>
      </c>
      <c r="I3" s="1">
        <v>47</v>
      </c>
      <c r="J3" s="10"/>
      <c r="K3" s="10"/>
      <c r="L3" s="10"/>
      <c r="M3" s="10"/>
      <c r="N3" s="10"/>
      <c r="O3" s="10"/>
      <c r="P3" s="10"/>
      <c r="Q3" s="14">
        <f>SUM(D3:P3)</f>
        <v>272</v>
      </c>
    </row>
    <row r="4" spans="1:17" ht="15.75" customHeight="1">
      <c r="A4" s="33"/>
      <c r="B4" s="2" t="s">
        <v>177</v>
      </c>
      <c r="C4" s="45" t="s">
        <v>310</v>
      </c>
      <c r="D4" s="4">
        <v>29</v>
      </c>
      <c r="E4" s="1">
        <v>53</v>
      </c>
      <c r="F4" s="1">
        <v>81</v>
      </c>
      <c r="G4" s="1">
        <v>64</v>
      </c>
      <c r="H4" s="1">
        <v>54</v>
      </c>
      <c r="I4" s="1">
        <v>60</v>
      </c>
      <c r="J4" s="10"/>
      <c r="K4" s="10"/>
      <c r="L4" s="10"/>
      <c r="M4" s="10"/>
      <c r="N4" s="10"/>
      <c r="O4" s="10"/>
      <c r="P4" s="10"/>
      <c r="Q4" s="14">
        <f t="shared" ref="Q4:Q25" si="0">SUM(D4:P4)</f>
        <v>341</v>
      </c>
    </row>
    <row r="5" spans="1:17" ht="15.75" customHeight="1">
      <c r="A5" s="33"/>
      <c r="B5" s="2" t="s">
        <v>9</v>
      </c>
      <c r="C5" s="45" t="s">
        <v>310</v>
      </c>
      <c r="D5" s="4">
        <v>35</v>
      </c>
      <c r="E5" s="1">
        <v>55</v>
      </c>
      <c r="F5" s="1">
        <v>101</v>
      </c>
      <c r="G5" s="1">
        <v>77</v>
      </c>
      <c r="H5" s="1">
        <v>73</v>
      </c>
      <c r="I5" s="1">
        <v>89</v>
      </c>
      <c r="J5" s="10"/>
      <c r="K5" s="10"/>
      <c r="L5" s="10"/>
      <c r="M5" s="10"/>
      <c r="N5" s="10"/>
      <c r="O5" s="10"/>
      <c r="P5" s="10"/>
      <c r="Q5" s="14">
        <f t="shared" si="0"/>
        <v>430</v>
      </c>
    </row>
    <row r="6" spans="1:17" ht="15.75" customHeight="1">
      <c r="A6" s="33"/>
      <c r="B6" s="2" t="s">
        <v>178</v>
      </c>
      <c r="C6" s="45" t="s">
        <v>310</v>
      </c>
      <c r="D6" s="4">
        <v>25</v>
      </c>
      <c r="E6" s="1">
        <v>43</v>
      </c>
      <c r="F6" s="1">
        <v>48</v>
      </c>
      <c r="G6" s="1">
        <v>54</v>
      </c>
      <c r="H6" s="1">
        <v>32</v>
      </c>
      <c r="I6" s="1">
        <v>43</v>
      </c>
      <c r="J6" s="10"/>
      <c r="K6" s="10"/>
      <c r="L6" s="10"/>
      <c r="M6" s="10"/>
      <c r="N6" s="10"/>
      <c r="O6" s="10"/>
      <c r="P6" s="10"/>
      <c r="Q6" s="14">
        <f t="shared" si="0"/>
        <v>245</v>
      </c>
    </row>
    <row r="7" spans="1:17" ht="15.75" customHeight="1">
      <c r="A7" s="33"/>
      <c r="B7" s="2" t="s">
        <v>10</v>
      </c>
      <c r="C7" s="45" t="s">
        <v>310</v>
      </c>
      <c r="D7" s="4">
        <v>22</v>
      </c>
      <c r="E7" s="1">
        <v>50</v>
      </c>
      <c r="F7" s="1">
        <v>59</v>
      </c>
      <c r="G7" s="1">
        <v>38</v>
      </c>
      <c r="H7" s="1">
        <v>42</v>
      </c>
      <c r="I7" s="1">
        <v>51</v>
      </c>
      <c r="J7" s="10"/>
      <c r="K7" s="10"/>
      <c r="L7" s="10"/>
      <c r="M7" s="10"/>
      <c r="N7" s="10"/>
      <c r="O7" s="10"/>
      <c r="P7" s="10"/>
      <c r="Q7" s="14">
        <f t="shared" si="0"/>
        <v>262</v>
      </c>
    </row>
    <row r="8" spans="1:17" ht="15.75" customHeight="1">
      <c r="A8" s="33"/>
      <c r="B8" s="2" t="s">
        <v>88</v>
      </c>
      <c r="C8" s="45" t="s">
        <v>310</v>
      </c>
      <c r="D8" s="4">
        <v>27</v>
      </c>
      <c r="E8" s="1">
        <v>29</v>
      </c>
      <c r="F8" s="1">
        <v>44</v>
      </c>
      <c r="G8" s="1">
        <v>39</v>
      </c>
      <c r="H8" s="1">
        <v>49</v>
      </c>
      <c r="I8" s="1">
        <v>43</v>
      </c>
      <c r="J8" s="10"/>
      <c r="K8" s="10"/>
      <c r="L8" s="10"/>
      <c r="M8" s="10"/>
      <c r="N8" s="10"/>
      <c r="O8" s="10"/>
      <c r="P8" s="10"/>
      <c r="Q8" s="14">
        <f t="shared" si="0"/>
        <v>231</v>
      </c>
    </row>
    <row r="9" spans="1:17" ht="15.75" customHeight="1">
      <c r="A9" s="33"/>
      <c r="B9" s="2" t="s">
        <v>87</v>
      </c>
      <c r="C9" s="45" t="s">
        <v>310</v>
      </c>
      <c r="D9" s="4">
        <v>28</v>
      </c>
      <c r="E9" s="1">
        <v>64</v>
      </c>
      <c r="F9" s="1">
        <v>64</v>
      </c>
      <c r="G9" s="1">
        <v>49</v>
      </c>
      <c r="H9" s="1">
        <v>48</v>
      </c>
      <c r="I9" s="1">
        <v>52</v>
      </c>
      <c r="J9" s="10"/>
      <c r="K9" s="10"/>
      <c r="L9" s="10"/>
      <c r="M9" s="10"/>
      <c r="N9" s="10"/>
      <c r="O9" s="10"/>
      <c r="P9" s="10"/>
      <c r="Q9" s="16">
        <f t="shared" si="0"/>
        <v>305</v>
      </c>
    </row>
    <row r="10" spans="1:17" ht="15.75" customHeight="1">
      <c r="A10" s="33"/>
      <c r="B10" s="2" t="s">
        <v>89</v>
      </c>
      <c r="C10" s="45" t="s">
        <v>310</v>
      </c>
      <c r="D10" s="4">
        <v>33</v>
      </c>
      <c r="E10" s="1">
        <v>51</v>
      </c>
      <c r="F10" s="1">
        <v>80</v>
      </c>
      <c r="G10" s="1">
        <v>54</v>
      </c>
      <c r="H10" s="1">
        <v>69</v>
      </c>
      <c r="I10" s="1">
        <v>69</v>
      </c>
      <c r="J10" s="10"/>
      <c r="K10" s="10"/>
      <c r="L10" s="10"/>
      <c r="M10" s="10"/>
      <c r="N10" s="10"/>
      <c r="O10" s="10"/>
      <c r="P10" s="10"/>
      <c r="Q10" s="14">
        <f t="shared" si="0"/>
        <v>356</v>
      </c>
    </row>
    <row r="11" spans="1:17" ht="15.75" customHeight="1">
      <c r="A11" s="33"/>
      <c r="B11" s="2" t="s">
        <v>11</v>
      </c>
      <c r="C11" s="45" t="s">
        <v>310</v>
      </c>
      <c r="D11" s="4">
        <v>32</v>
      </c>
      <c r="E11" s="1">
        <v>36</v>
      </c>
      <c r="F11" s="1">
        <v>58</v>
      </c>
      <c r="G11" s="1">
        <v>55</v>
      </c>
      <c r="H11" s="1">
        <v>49</v>
      </c>
      <c r="I11" s="1">
        <v>44</v>
      </c>
      <c r="J11" s="10"/>
      <c r="K11" s="10"/>
      <c r="L11" s="10"/>
      <c r="M11" s="10"/>
      <c r="N11" s="10"/>
      <c r="O11" s="10"/>
      <c r="P11" s="10"/>
      <c r="Q11" s="14">
        <f t="shared" si="0"/>
        <v>274</v>
      </c>
    </row>
    <row r="12" spans="1:17" ht="15.75" customHeight="1">
      <c r="A12" s="33"/>
      <c r="B12" s="2" t="s">
        <v>90</v>
      </c>
      <c r="C12" s="45" t="s">
        <v>310</v>
      </c>
      <c r="D12" s="4">
        <v>20</v>
      </c>
      <c r="E12" s="1"/>
      <c r="F12" s="1">
        <v>1</v>
      </c>
      <c r="G12" s="1"/>
      <c r="H12" s="1">
        <v>1</v>
      </c>
      <c r="I12" s="1">
        <v>1</v>
      </c>
      <c r="J12" s="10"/>
      <c r="K12" s="10"/>
      <c r="L12" s="10"/>
      <c r="M12" s="10"/>
      <c r="N12" s="10"/>
      <c r="O12" s="10"/>
      <c r="P12" s="10"/>
      <c r="Q12" s="14">
        <f t="shared" si="0"/>
        <v>23</v>
      </c>
    </row>
    <row r="13" spans="1:17" ht="15.75" customHeight="1">
      <c r="A13" s="33"/>
      <c r="B13" s="2" t="s">
        <v>91</v>
      </c>
      <c r="C13" s="45" t="s">
        <v>310</v>
      </c>
      <c r="D13" s="4">
        <v>32</v>
      </c>
      <c r="E13" s="1">
        <v>20</v>
      </c>
      <c r="F13" s="1">
        <v>44</v>
      </c>
      <c r="G13" s="1">
        <v>36</v>
      </c>
      <c r="H13" s="1">
        <v>41</v>
      </c>
      <c r="I13" s="1">
        <v>43</v>
      </c>
      <c r="J13" s="10"/>
      <c r="K13" s="10"/>
      <c r="L13" s="10"/>
      <c r="M13" s="10"/>
      <c r="N13" s="10"/>
      <c r="O13" s="10"/>
      <c r="P13" s="10"/>
      <c r="Q13" s="14">
        <f t="shared" si="0"/>
        <v>216</v>
      </c>
    </row>
    <row r="14" spans="1:17" ht="15.75" customHeight="1">
      <c r="A14" s="33"/>
      <c r="B14" s="2" t="s">
        <v>92</v>
      </c>
      <c r="C14" s="45" t="s">
        <v>310</v>
      </c>
      <c r="D14" s="4">
        <v>31</v>
      </c>
      <c r="E14" s="1">
        <v>31</v>
      </c>
      <c r="F14" s="1">
        <v>42</v>
      </c>
      <c r="G14" s="1">
        <v>49</v>
      </c>
      <c r="H14" s="1">
        <v>51</v>
      </c>
      <c r="I14" s="1">
        <v>47</v>
      </c>
      <c r="J14" s="10"/>
      <c r="K14" s="10"/>
      <c r="L14" s="10"/>
      <c r="M14" s="10"/>
      <c r="N14" s="10"/>
      <c r="O14" s="10"/>
      <c r="P14" s="10"/>
      <c r="Q14" s="14">
        <f t="shared" si="0"/>
        <v>251</v>
      </c>
    </row>
    <row r="15" spans="1:17" ht="15.75" customHeight="1">
      <c r="A15" s="33"/>
      <c r="B15" s="2" t="s">
        <v>93</v>
      </c>
      <c r="C15" s="45" t="s">
        <v>310</v>
      </c>
      <c r="D15" s="4">
        <v>30</v>
      </c>
      <c r="E15" s="1"/>
      <c r="F15" s="1">
        <v>1</v>
      </c>
      <c r="G15" s="1">
        <v>2</v>
      </c>
      <c r="H15" s="1">
        <v>1</v>
      </c>
      <c r="I15" s="1">
        <v>3</v>
      </c>
      <c r="J15" s="10"/>
      <c r="K15" s="10"/>
      <c r="L15" s="10"/>
      <c r="M15" s="10"/>
      <c r="N15" s="10"/>
      <c r="O15" s="10"/>
      <c r="P15" s="10"/>
      <c r="Q15" s="14">
        <f t="shared" si="0"/>
        <v>37</v>
      </c>
    </row>
    <row r="16" spans="1:17" ht="15.75" customHeight="1">
      <c r="A16" s="33"/>
      <c r="B16" s="2" t="s">
        <v>94</v>
      </c>
      <c r="C16" s="45" t="s">
        <v>310</v>
      </c>
      <c r="D16" s="4">
        <v>30</v>
      </c>
      <c r="E16" s="1">
        <v>42</v>
      </c>
      <c r="F16" s="1">
        <v>35</v>
      </c>
      <c r="G16" s="1">
        <v>30</v>
      </c>
      <c r="H16" s="1">
        <v>27</v>
      </c>
      <c r="I16" s="1">
        <v>32</v>
      </c>
      <c r="J16" s="10"/>
      <c r="K16" s="10"/>
      <c r="L16" s="10"/>
      <c r="M16" s="10"/>
      <c r="N16" s="10"/>
      <c r="O16" s="10"/>
      <c r="P16" s="10"/>
      <c r="Q16" s="14">
        <f t="shared" si="0"/>
        <v>196</v>
      </c>
    </row>
    <row r="17" spans="1:17" ht="15.75" customHeight="1">
      <c r="A17" s="33"/>
      <c r="B17" s="2" t="s">
        <v>290</v>
      </c>
      <c r="C17" s="45" t="s">
        <v>310</v>
      </c>
      <c r="D17" s="4">
        <v>33</v>
      </c>
      <c r="E17" s="1">
        <v>37</v>
      </c>
      <c r="F17" s="1">
        <v>65</v>
      </c>
      <c r="G17" s="1">
        <v>34</v>
      </c>
      <c r="H17" s="1">
        <v>37</v>
      </c>
      <c r="I17" s="1">
        <v>62</v>
      </c>
      <c r="J17" s="10"/>
      <c r="K17" s="10"/>
      <c r="L17" s="10"/>
      <c r="M17" s="10"/>
      <c r="N17" s="10"/>
      <c r="O17" s="10"/>
      <c r="P17" s="10"/>
      <c r="Q17" s="14">
        <f t="shared" si="0"/>
        <v>268</v>
      </c>
    </row>
    <row r="18" spans="1:17" ht="15.75" customHeight="1">
      <c r="A18" s="33"/>
      <c r="B18" s="2" t="s">
        <v>12</v>
      </c>
      <c r="C18" s="45" t="s">
        <v>311</v>
      </c>
      <c r="D18" s="4"/>
      <c r="E18" s="1"/>
      <c r="F18" s="1"/>
      <c r="G18" s="1"/>
      <c r="H18" s="1"/>
      <c r="I18" s="1"/>
      <c r="J18" s="1">
        <v>150</v>
      </c>
      <c r="K18" s="1">
        <v>83</v>
      </c>
      <c r="L18" s="1">
        <v>101</v>
      </c>
      <c r="M18" s="1">
        <v>80</v>
      </c>
      <c r="N18" s="10"/>
      <c r="O18" s="10"/>
      <c r="P18" s="10"/>
      <c r="Q18" s="14">
        <f t="shared" si="0"/>
        <v>414</v>
      </c>
    </row>
    <row r="19" spans="1:17" ht="15.75" customHeight="1">
      <c r="A19" s="33"/>
      <c r="B19" s="2" t="s">
        <v>13</v>
      </c>
      <c r="C19" s="45" t="s">
        <v>311</v>
      </c>
      <c r="D19" s="4"/>
      <c r="E19" s="1"/>
      <c r="F19" s="1"/>
      <c r="G19" s="1"/>
      <c r="H19" s="1"/>
      <c r="I19" s="1"/>
      <c r="J19" s="1">
        <v>111</v>
      </c>
      <c r="K19" s="1">
        <v>113</v>
      </c>
      <c r="L19" s="1">
        <v>92</v>
      </c>
      <c r="M19" s="1">
        <v>120</v>
      </c>
      <c r="N19" s="10"/>
      <c r="O19" s="10"/>
      <c r="P19" s="10"/>
      <c r="Q19" s="14">
        <f t="shared" si="0"/>
        <v>436</v>
      </c>
    </row>
    <row r="20" spans="1:17" ht="15.75" customHeight="1">
      <c r="A20" s="33"/>
      <c r="B20" s="2" t="s">
        <v>14</v>
      </c>
      <c r="C20" s="45" t="s">
        <v>311</v>
      </c>
      <c r="D20" s="4"/>
      <c r="E20" s="1"/>
      <c r="F20" s="1"/>
      <c r="G20" s="1"/>
      <c r="H20" s="1"/>
      <c r="I20" s="1"/>
      <c r="J20" s="1">
        <v>185</v>
      </c>
      <c r="K20" s="1">
        <v>156</v>
      </c>
      <c r="L20" s="1">
        <v>136</v>
      </c>
      <c r="M20" s="1">
        <v>111</v>
      </c>
      <c r="N20" s="10"/>
      <c r="O20" s="10"/>
      <c r="P20" s="10"/>
      <c r="Q20" s="14">
        <f t="shared" si="0"/>
        <v>588</v>
      </c>
    </row>
    <row r="21" spans="1:17" ht="15.75" customHeight="1">
      <c r="A21" s="33"/>
      <c r="B21" s="2" t="s">
        <v>95</v>
      </c>
      <c r="C21" s="45" t="s">
        <v>311</v>
      </c>
      <c r="D21" s="4"/>
      <c r="E21" s="1"/>
      <c r="F21" s="1"/>
      <c r="G21" s="1"/>
      <c r="H21" s="1"/>
      <c r="I21" s="1"/>
      <c r="J21" s="1">
        <v>242</v>
      </c>
      <c r="K21" s="1">
        <v>209</v>
      </c>
      <c r="L21" s="1">
        <v>169</v>
      </c>
      <c r="M21" s="1">
        <v>129</v>
      </c>
      <c r="N21" s="10"/>
      <c r="O21" s="10"/>
      <c r="P21" s="10"/>
      <c r="Q21" s="14">
        <f t="shared" si="0"/>
        <v>749</v>
      </c>
    </row>
    <row r="22" spans="1:17" ht="15.75" customHeight="1">
      <c r="A22" s="33"/>
      <c r="B22" s="2" t="s">
        <v>96</v>
      </c>
      <c r="C22" s="45" t="s">
        <v>311</v>
      </c>
      <c r="D22" s="4"/>
      <c r="E22" s="1"/>
      <c r="F22" s="1"/>
      <c r="G22" s="1"/>
      <c r="H22" s="1"/>
      <c r="I22" s="1"/>
      <c r="J22" s="1">
        <v>220</v>
      </c>
      <c r="K22" s="1">
        <v>198</v>
      </c>
      <c r="L22" s="1">
        <v>185</v>
      </c>
      <c r="M22" s="1">
        <v>93</v>
      </c>
      <c r="N22" s="10"/>
      <c r="O22" s="10"/>
      <c r="P22" s="10"/>
      <c r="Q22" s="14">
        <f t="shared" si="0"/>
        <v>696</v>
      </c>
    </row>
    <row r="23" spans="1:17" ht="15.75" customHeight="1">
      <c r="A23" s="33"/>
      <c r="B23" s="2" t="s">
        <v>97</v>
      </c>
      <c r="C23" s="45" t="s">
        <v>311</v>
      </c>
      <c r="D23" s="4"/>
      <c r="E23" s="1"/>
      <c r="F23" s="1"/>
      <c r="G23" s="1"/>
      <c r="H23" s="1"/>
      <c r="I23" s="1"/>
      <c r="J23" s="1">
        <v>229</v>
      </c>
      <c r="K23" s="1">
        <v>188</v>
      </c>
      <c r="L23" s="1">
        <v>156</v>
      </c>
      <c r="M23" s="1">
        <v>122</v>
      </c>
      <c r="N23" s="10"/>
      <c r="O23" s="10"/>
      <c r="P23" s="10"/>
      <c r="Q23" s="14">
        <f t="shared" si="0"/>
        <v>695</v>
      </c>
    </row>
    <row r="24" spans="1:17" ht="15.75" customHeight="1">
      <c r="A24" s="33"/>
      <c r="B24" s="2" t="s">
        <v>98</v>
      </c>
      <c r="C24" s="45" t="s">
        <v>312</v>
      </c>
      <c r="D24" s="4"/>
      <c r="E24" s="1"/>
      <c r="F24" s="1"/>
      <c r="G24" s="1"/>
      <c r="H24" s="1"/>
      <c r="I24" s="1"/>
      <c r="J24" s="10"/>
      <c r="K24" s="10"/>
      <c r="L24" s="10"/>
      <c r="M24" s="10"/>
      <c r="N24" s="1">
        <v>289</v>
      </c>
      <c r="O24" s="1">
        <v>212</v>
      </c>
      <c r="P24" s="1">
        <v>227</v>
      </c>
      <c r="Q24" s="16">
        <f t="shared" si="0"/>
        <v>728</v>
      </c>
    </row>
    <row r="25" spans="1:17" ht="15.75" customHeight="1">
      <c r="A25" s="34"/>
      <c r="B25" s="3" t="s">
        <v>99</v>
      </c>
      <c r="C25" s="46" t="s">
        <v>312</v>
      </c>
      <c r="D25" s="9"/>
      <c r="E25" s="7"/>
      <c r="F25" s="7"/>
      <c r="G25" s="7"/>
      <c r="H25" s="7"/>
      <c r="I25" s="7"/>
      <c r="J25" s="12"/>
      <c r="K25" s="12"/>
      <c r="L25" s="12"/>
      <c r="M25" s="12"/>
      <c r="N25" s="7">
        <v>223</v>
      </c>
      <c r="O25" s="7">
        <v>197</v>
      </c>
      <c r="P25" s="7">
        <v>230</v>
      </c>
      <c r="Q25" s="14">
        <f t="shared" si="0"/>
        <v>650</v>
      </c>
    </row>
    <row r="26" spans="1:17" ht="15.75" customHeight="1">
      <c r="A26" s="15" t="s">
        <v>297</v>
      </c>
      <c r="B26" s="13"/>
      <c r="C26" s="14"/>
      <c r="D26" s="14">
        <f>SUM(D3:D25)</f>
        <v>439</v>
      </c>
      <c r="E26" s="14">
        <f t="shared" ref="E26:Q26" si="1">SUM(E3:E25)</f>
        <v>560</v>
      </c>
      <c r="F26" s="14">
        <f t="shared" si="1"/>
        <v>779</v>
      </c>
      <c r="G26" s="14">
        <f t="shared" si="1"/>
        <v>630</v>
      </c>
      <c r="H26" s="14">
        <f t="shared" si="1"/>
        <v>613</v>
      </c>
      <c r="I26" s="14">
        <f t="shared" si="1"/>
        <v>686</v>
      </c>
      <c r="J26" s="14">
        <f t="shared" si="1"/>
        <v>1137</v>
      </c>
      <c r="K26" s="14">
        <f t="shared" si="1"/>
        <v>947</v>
      </c>
      <c r="L26" s="14">
        <f t="shared" si="1"/>
        <v>839</v>
      </c>
      <c r="M26" s="14">
        <f t="shared" si="1"/>
        <v>655</v>
      </c>
      <c r="N26" s="14">
        <f t="shared" si="1"/>
        <v>512</v>
      </c>
      <c r="O26" s="14">
        <f t="shared" si="1"/>
        <v>409</v>
      </c>
      <c r="P26" s="14">
        <f t="shared" si="1"/>
        <v>457</v>
      </c>
      <c r="Q26" s="14">
        <f t="shared" si="1"/>
        <v>8663</v>
      </c>
    </row>
  </sheetData>
  <mergeCells count="7">
    <mergeCell ref="N1:P1"/>
    <mergeCell ref="Q1:Q2"/>
    <mergeCell ref="A1:A2"/>
    <mergeCell ref="A3:A25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1"/>
  <sheetViews>
    <sheetView rightToLeft="1" workbookViewId="0">
      <pane ySplit="2" topLeftCell="A3" activePane="bottomLeft" state="frozen"/>
      <selection pane="bottomLeft" activeCell="C21" sqref="C21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6.425781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38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38"/>
    </row>
    <row r="3" spans="1:17" ht="15" customHeight="1">
      <c r="A3" s="33" t="s">
        <v>60</v>
      </c>
      <c r="B3" s="2" t="s">
        <v>15</v>
      </c>
      <c r="C3" s="45" t="s">
        <v>310</v>
      </c>
      <c r="D3" s="4">
        <v>45</v>
      </c>
      <c r="E3" s="1">
        <v>56</v>
      </c>
      <c r="F3" s="1">
        <v>56</v>
      </c>
      <c r="G3" s="1">
        <v>56</v>
      </c>
      <c r="H3" s="1">
        <v>63</v>
      </c>
      <c r="I3" s="1">
        <v>52</v>
      </c>
      <c r="J3" s="10"/>
      <c r="K3" s="10"/>
      <c r="L3" s="10"/>
      <c r="M3" s="10"/>
      <c r="N3" s="10"/>
      <c r="O3" s="10"/>
      <c r="P3" s="10"/>
      <c r="Q3" s="16">
        <f>SUM(D3:P3)</f>
        <v>328</v>
      </c>
    </row>
    <row r="4" spans="1:17" ht="15" customHeight="1">
      <c r="A4" s="33"/>
      <c r="B4" s="2" t="s">
        <v>16</v>
      </c>
      <c r="C4" s="45" t="s">
        <v>310</v>
      </c>
      <c r="D4" s="4">
        <v>50</v>
      </c>
      <c r="E4" s="1">
        <v>101</v>
      </c>
      <c r="F4" s="1">
        <v>108</v>
      </c>
      <c r="G4" s="1">
        <v>85</v>
      </c>
      <c r="H4" s="1">
        <v>99</v>
      </c>
      <c r="I4" s="1">
        <v>112</v>
      </c>
      <c r="J4" s="10"/>
      <c r="K4" s="10"/>
      <c r="L4" s="10"/>
      <c r="M4" s="10"/>
      <c r="N4" s="10"/>
      <c r="O4" s="10"/>
      <c r="P4" s="10"/>
      <c r="Q4" s="16">
        <f t="shared" ref="Q4:Q20" si="0">SUM(D4:P4)</f>
        <v>555</v>
      </c>
    </row>
    <row r="5" spans="1:17" ht="15" customHeight="1">
      <c r="A5" s="33"/>
      <c r="B5" s="2" t="s">
        <v>100</v>
      </c>
      <c r="C5" s="45" t="s">
        <v>310</v>
      </c>
      <c r="D5" s="4">
        <v>43</v>
      </c>
      <c r="E5" s="1">
        <v>17</v>
      </c>
      <c r="F5" s="1">
        <v>21</v>
      </c>
      <c r="G5" s="1">
        <v>19</v>
      </c>
      <c r="H5" s="1">
        <v>19</v>
      </c>
      <c r="I5" s="1">
        <v>27</v>
      </c>
      <c r="J5" s="10"/>
      <c r="K5" s="10"/>
      <c r="L5" s="10"/>
      <c r="M5" s="10"/>
      <c r="N5" s="10"/>
      <c r="O5" s="10"/>
      <c r="P5" s="10"/>
      <c r="Q5" s="16">
        <f t="shared" si="0"/>
        <v>146</v>
      </c>
    </row>
    <row r="6" spans="1:17" ht="15" customHeight="1">
      <c r="A6" s="33"/>
      <c r="B6" s="2" t="s">
        <v>17</v>
      </c>
      <c r="C6" s="45" t="s">
        <v>310</v>
      </c>
      <c r="D6" s="4">
        <v>39</v>
      </c>
      <c r="E6" s="1">
        <v>30</v>
      </c>
      <c r="F6" s="1">
        <v>56</v>
      </c>
      <c r="G6" s="1">
        <v>42</v>
      </c>
      <c r="H6" s="1">
        <v>53</v>
      </c>
      <c r="I6" s="1">
        <v>31</v>
      </c>
      <c r="J6" s="10"/>
      <c r="K6" s="10"/>
      <c r="L6" s="10"/>
      <c r="M6" s="10"/>
      <c r="N6" s="10"/>
      <c r="O6" s="10"/>
      <c r="P6" s="10"/>
      <c r="Q6" s="16">
        <f t="shared" si="0"/>
        <v>251</v>
      </c>
    </row>
    <row r="7" spans="1:17" ht="15" customHeight="1">
      <c r="A7" s="33"/>
      <c r="B7" s="2" t="s">
        <v>101</v>
      </c>
      <c r="C7" s="45" t="s">
        <v>310</v>
      </c>
      <c r="D7" s="4">
        <v>56</v>
      </c>
      <c r="E7" s="1">
        <v>19</v>
      </c>
      <c r="F7" s="1">
        <v>28</v>
      </c>
      <c r="G7" s="1">
        <v>32</v>
      </c>
      <c r="H7" s="1">
        <v>28</v>
      </c>
      <c r="I7" s="1">
        <v>27</v>
      </c>
      <c r="J7" s="10"/>
      <c r="K7" s="10"/>
      <c r="L7" s="10"/>
      <c r="M7" s="10"/>
      <c r="N7" s="10"/>
      <c r="O7" s="10"/>
      <c r="P7" s="10"/>
      <c r="Q7" s="16">
        <f t="shared" si="0"/>
        <v>190</v>
      </c>
    </row>
    <row r="8" spans="1:17" ht="15" customHeight="1">
      <c r="A8" s="33"/>
      <c r="B8" s="2" t="s">
        <v>18</v>
      </c>
      <c r="C8" s="45" t="s">
        <v>310</v>
      </c>
      <c r="D8" s="4">
        <v>40</v>
      </c>
      <c r="E8" s="1">
        <v>73</v>
      </c>
      <c r="F8" s="1">
        <v>85</v>
      </c>
      <c r="G8" s="1">
        <v>76</v>
      </c>
      <c r="H8" s="1">
        <v>87</v>
      </c>
      <c r="I8" s="1">
        <v>93</v>
      </c>
      <c r="J8" s="10"/>
      <c r="K8" s="10"/>
      <c r="L8" s="10"/>
      <c r="M8" s="10"/>
      <c r="N8" s="10"/>
      <c r="O8" s="10"/>
      <c r="P8" s="10"/>
      <c r="Q8" s="16">
        <f t="shared" si="0"/>
        <v>454</v>
      </c>
    </row>
    <row r="9" spans="1:17" ht="15" customHeight="1">
      <c r="A9" s="33"/>
      <c r="B9" s="2" t="s">
        <v>19</v>
      </c>
      <c r="C9" s="45" t="s">
        <v>310</v>
      </c>
      <c r="D9" s="4">
        <v>43</v>
      </c>
      <c r="E9" s="1">
        <v>72</v>
      </c>
      <c r="F9" s="1">
        <v>74</v>
      </c>
      <c r="G9" s="1">
        <v>46</v>
      </c>
      <c r="H9" s="1">
        <v>61</v>
      </c>
      <c r="I9" s="1">
        <v>71</v>
      </c>
      <c r="J9" s="10"/>
      <c r="K9" s="10"/>
      <c r="L9" s="10"/>
      <c r="M9" s="10"/>
      <c r="N9" s="10"/>
      <c r="O9" s="10"/>
      <c r="P9" s="10"/>
      <c r="Q9" s="16">
        <f t="shared" si="0"/>
        <v>367</v>
      </c>
    </row>
    <row r="10" spans="1:17" ht="15" customHeight="1">
      <c r="A10" s="33"/>
      <c r="B10" s="2" t="s">
        <v>20</v>
      </c>
      <c r="C10" s="45" t="s">
        <v>310</v>
      </c>
      <c r="D10" s="4">
        <v>47</v>
      </c>
      <c r="E10" s="1">
        <v>47</v>
      </c>
      <c r="F10" s="1">
        <v>47</v>
      </c>
      <c r="G10" s="1">
        <v>46</v>
      </c>
      <c r="H10" s="1">
        <v>46</v>
      </c>
      <c r="I10" s="1">
        <v>42</v>
      </c>
      <c r="J10" s="10"/>
      <c r="K10" s="10"/>
      <c r="L10" s="10"/>
      <c r="M10" s="10"/>
      <c r="N10" s="10"/>
      <c r="O10" s="10"/>
      <c r="P10" s="10"/>
      <c r="Q10" s="16">
        <f t="shared" si="0"/>
        <v>275</v>
      </c>
    </row>
    <row r="11" spans="1:17" ht="15" customHeight="1">
      <c r="A11" s="33"/>
      <c r="B11" s="2" t="s">
        <v>21</v>
      </c>
      <c r="C11" s="45" t="s">
        <v>310</v>
      </c>
      <c r="D11" s="4">
        <v>46</v>
      </c>
      <c r="E11" s="1">
        <v>30</v>
      </c>
      <c r="F11" s="1">
        <v>41</v>
      </c>
      <c r="G11" s="1">
        <v>51</v>
      </c>
      <c r="H11" s="1">
        <v>41</v>
      </c>
      <c r="I11" s="1">
        <v>58</v>
      </c>
      <c r="J11" s="10"/>
      <c r="K11" s="10"/>
      <c r="L11" s="10"/>
      <c r="M11" s="10"/>
      <c r="N11" s="10"/>
      <c r="O11" s="10"/>
      <c r="P11" s="10"/>
      <c r="Q11" s="16">
        <f t="shared" si="0"/>
        <v>267</v>
      </c>
    </row>
    <row r="12" spans="1:17" ht="15" customHeight="1">
      <c r="A12" s="33"/>
      <c r="B12" s="2" t="s">
        <v>102</v>
      </c>
      <c r="C12" s="45" t="s">
        <v>310</v>
      </c>
      <c r="D12" s="4">
        <v>50</v>
      </c>
      <c r="E12" s="1">
        <v>79</v>
      </c>
      <c r="F12" s="1">
        <v>91</v>
      </c>
      <c r="G12" s="1">
        <v>85</v>
      </c>
      <c r="H12" s="1">
        <v>88</v>
      </c>
      <c r="I12" s="1">
        <v>77</v>
      </c>
      <c r="J12" s="10"/>
      <c r="K12" s="10"/>
      <c r="L12" s="10"/>
      <c r="M12" s="10"/>
      <c r="N12" s="10"/>
      <c r="O12" s="10"/>
      <c r="P12" s="10"/>
      <c r="Q12" s="16">
        <f t="shared" si="0"/>
        <v>470</v>
      </c>
    </row>
    <row r="13" spans="1:17" ht="15" customHeight="1">
      <c r="A13" s="33"/>
      <c r="B13" s="2" t="s">
        <v>103</v>
      </c>
      <c r="C13" s="45" t="s">
        <v>310</v>
      </c>
      <c r="D13" s="4">
        <v>42</v>
      </c>
      <c r="E13" s="1">
        <v>59</v>
      </c>
      <c r="F13" s="1">
        <v>72</v>
      </c>
      <c r="G13" s="1">
        <v>53</v>
      </c>
      <c r="H13" s="1">
        <v>64</v>
      </c>
      <c r="I13" s="1">
        <v>81</v>
      </c>
      <c r="J13" s="10"/>
      <c r="K13" s="10"/>
      <c r="L13" s="10"/>
      <c r="M13" s="10"/>
      <c r="N13" s="10"/>
      <c r="O13" s="10"/>
      <c r="P13" s="10"/>
      <c r="Q13" s="16">
        <f t="shared" si="0"/>
        <v>371</v>
      </c>
    </row>
    <row r="14" spans="1:17" ht="15" customHeight="1">
      <c r="A14" s="33"/>
      <c r="B14" s="2" t="s">
        <v>22</v>
      </c>
      <c r="C14" s="45" t="s">
        <v>310</v>
      </c>
      <c r="D14" s="4">
        <v>46</v>
      </c>
      <c r="E14" s="1">
        <v>24</v>
      </c>
      <c r="F14" s="1">
        <v>32</v>
      </c>
      <c r="G14" s="1">
        <v>28</v>
      </c>
      <c r="H14" s="1">
        <v>27</v>
      </c>
      <c r="I14" s="1">
        <v>20</v>
      </c>
      <c r="J14" s="10"/>
      <c r="K14" s="10"/>
      <c r="L14" s="10"/>
      <c r="M14" s="10"/>
      <c r="N14" s="10"/>
      <c r="O14" s="10"/>
      <c r="P14" s="10"/>
      <c r="Q14" s="16">
        <f t="shared" si="0"/>
        <v>177</v>
      </c>
    </row>
    <row r="15" spans="1:17" ht="15" customHeight="1">
      <c r="A15" s="33"/>
      <c r="B15" s="2" t="s">
        <v>104</v>
      </c>
      <c r="C15" s="45" t="s">
        <v>310</v>
      </c>
      <c r="D15" s="4">
        <v>55</v>
      </c>
      <c r="E15" s="1">
        <v>14</v>
      </c>
      <c r="F15" s="1">
        <v>23</v>
      </c>
      <c r="G15" s="1">
        <v>15</v>
      </c>
      <c r="H15" s="1">
        <v>24</v>
      </c>
      <c r="I15" s="1">
        <v>17</v>
      </c>
      <c r="J15" s="10"/>
      <c r="K15" s="10"/>
      <c r="L15" s="10"/>
      <c r="M15" s="10"/>
      <c r="N15" s="10"/>
      <c r="O15" s="10"/>
      <c r="P15" s="10"/>
      <c r="Q15" s="16">
        <f t="shared" si="0"/>
        <v>148</v>
      </c>
    </row>
    <row r="16" spans="1:17" ht="15" customHeight="1">
      <c r="A16" s="33"/>
      <c r="B16" s="2" t="s">
        <v>105</v>
      </c>
      <c r="C16" s="45" t="s">
        <v>311</v>
      </c>
      <c r="D16" s="4"/>
      <c r="E16" s="1"/>
      <c r="F16" s="1"/>
      <c r="G16" s="1"/>
      <c r="H16" s="1"/>
      <c r="I16" s="1"/>
      <c r="J16" s="1">
        <v>191</v>
      </c>
      <c r="K16" s="1">
        <v>82</v>
      </c>
      <c r="L16" s="1">
        <v>111</v>
      </c>
      <c r="M16" s="1">
        <v>129</v>
      </c>
      <c r="N16" s="10"/>
      <c r="O16" s="10"/>
      <c r="P16" s="10"/>
      <c r="Q16" s="16">
        <f t="shared" si="0"/>
        <v>513</v>
      </c>
    </row>
    <row r="17" spans="1:17" ht="15" customHeight="1">
      <c r="A17" s="33"/>
      <c r="B17" s="2" t="s">
        <v>23</v>
      </c>
      <c r="C17" s="45" t="s">
        <v>311</v>
      </c>
      <c r="D17" s="4"/>
      <c r="E17" s="1"/>
      <c r="F17" s="1"/>
      <c r="G17" s="1"/>
      <c r="H17" s="1"/>
      <c r="I17" s="1"/>
      <c r="J17" s="1">
        <v>124</v>
      </c>
      <c r="K17" s="1">
        <v>116</v>
      </c>
      <c r="L17" s="1">
        <v>139</v>
      </c>
      <c r="M17" s="1">
        <v>176</v>
      </c>
      <c r="N17" s="10"/>
      <c r="O17" s="10"/>
      <c r="P17" s="10"/>
      <c r="Q17" s="16">
        <f t="shared" si="0"/>
        <v>555</v>
      </c>
    </row>
    <row r="18" spans="1:17" ht="15" customHeight="1">
      <c r="A18" s="33"/>
      <c r="B18" s="2" t="s">
        <v>106</v>
      </c>
      <c r="C18" s="45" t="s">
        <v>311</v>
      </c>
      <c r="D18" s="4"/>
      <c r="E18" s="1"/>
      <c r="F18" s="1"/>
      <c r="G18" s="1"/>
      <c r="H18" s="1"/>
      <c r="I18" s="1"/>
      <c r="J18" s="1">
        <v>128</v>
      </c>
      <c r="K18" s="1">
        <v>116</v>
      </c>
      <c r="L18" s="1">
        <v>98</v>
      </c>
      <c r="M18" s="1">
        <v>85</v>
      </c>
      <c r="N18" s="10"/>
      <c r="O18" s="10"/>
      <c r="P18" s="10"/>
      <c r="Q18" s="16">
        <f t="shared" si="0"/>
        <v>427</v>
      </c>
    </row>
    <row r="19" spans="1:17" ht="15" customHeight="1">
      <c r="A19" s="33"/>
      <c r="B19" s="2" t="s">
        <v>107</v>
      </c>
      <c r="C19" s="45" t="s">
        <v>311</v>
      </c>
      <c r="D19" s="4"/>
      <c r="E19" s="1"/>
      <c r="F19" s="1"/>
      <c r="G19" s="1"/>
      <c r="H19" s="1"/>
      <c r="I19" s="1"/>
      <c r="J19" s="1">
        <v>184</v>
      </c>
      <c r="K19" s="1">
        <v>178</v>
      </c>
      <c r="L19" s="1">
        <v>174</v>
      </c>
      <c r="M19" s="1">
        <v>171</v>
      </c>
      <c r="N19" s="10"/>
      <c r="O19" s="10"/>
      <c r="P19" s="10"/>
      <c r="Q19" s="16">
        <f t="shared" si="0"/>
        <v>707</v>
      </c>
    </row>
    <row r="20" spans="1:17" ht="15" customHeight="1">
      <c r="A20" s="34"/>
      <c r="B20" s="3" t="s">
        <v>108</v>
      </c>
      <c r="C20" s="46" t="s">
        <v>312</v>
      </c>
      <c r="D20" s="9"/>
      <c r="E20" s="7"/>
      <c r="F20" s="7"/>
      <c r="G20" s="7"/>
      <c r="H20" s="7"/>
      <c r="I20" s="7"/>
      <c r="J20" s="12"/>
      <c r="K20" s="12"/>
      <c r="L20" s="12"/>
      <c r="M20" s="12"/>
      <c r="N20" s="7">
        <v>371</v>
      </c>
      <c r="O20" s="7">
        <v>366</v>
      </c>
      <c r="P20" s="7">
        <v>416</v>
      </c>
      <c r="Q20" s="16">
        <f t="shared" si="0"/>
        <v>1153</v>
      </c>
    </row>
    <row r="21" spans="1:17">
      <c r="A21" s="17" t="s">
        <v>287</v>
      </c>
      <c r="B21" s="13"/>
      <c r="C21" s="14"/>
      <c r="D21" s="14">
        <f>SUM(D3:D20)</f>
        <v>602</v>
      </c>
      <c r="E21" s="14">
        <f t="shared" ref="E21:Q21" si="1">SUM(E3:E20)</f>
        <v>621</v>
      </c>
      <c r="F21" s="14">
        <f t="shared" si="1"/>
        <v>734</v>
      </c>
      <c r="G21" s="14">
        <f t="shared" si="1"/>
        <v>634</v>
      </c>
      <c r="H21" s="14">
        <f t="shared" si="1"/>
        <v>700</v>
      </c>
      <c r="I21" s="14">
        <f t="shared" si="1"/>
        <v>708</v>
      </c>
      <c r="J21" s="14">
        <f t="shared" si="1"/>
        <v>627</v>
      </c>
      <c r="K21" s="14">
        <f t="shared" si="1"/>
        <v>492</v>
      </c>
      <c r="L21" s="14">
        <f t="shared" si="1"/>
        <v>522</v>
      </c>
      <c r="M21" s="14">
        <f t="shared" si="1"/>
        <v>561</v>
      </c>
      <c r="N21" s="14">
        <f t="shared" si="1"/>
        <v>371</v>
      </c>
      <c r="O21" s="14">
        <f t="shared" si="1"/>
        <v>366</v>
      </c>
      <c r="P21" s="14">
        <f t="shared" si="1"/>
        <v>416</v>
      </c>
      <c r="Q21" s="14">
        <f t="shared" si="1"/>
        <v>7354</v>
      </c>
    </row>
  </sheetData>
  <mergeCells count="7">
    <mergeCell ref="Q1:Q2"/>
    <mergeCell ref="A3:A20"/>
    <mergeCell ref="B1:B2"/>
    <mergeCell ref="D1:I1"/>
    <mergeCell ref="J1:M1"/>
    <mergeCell ref="N1:P1"/>
    <mergeCell ref="A1:A2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1"/>
  <sheetViews>
    <sheetView rightToLeft="1" workbookViewId="0">
      <pane ySplit="2" topLeftCell="A3" activePane="bottomLeft" state="frozen"/>
      <selection pane="bottomLeft" activeCell="C11" sqref="C11"/>
    </sheetView>
  </sheetViews>
  <sheetFormatPr baseColWidth="10" defaultColWidth="9" defaultRowHeight="15"/>
  <cols>
    <col min="1" max="1" width="13.28515625" customWidth="1"/>
    <col min="2" max="2" width="40.7109375" customWidth="1"/>
    <col min="3" max="3" width="7.42578125" style="47" customWidth="1"/>
    <col min="4" max="4" width="7.28515625" bestFit="1" customWidth="1"/>
    <col min="11" max="11" width="8.42578125" customWidth="1"/>
  </cols>
  <sheetData>
    <row r="1" spans="1:17" ht="15" customHeight="1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36" t="s">
        <v>296</v>
      </c>
    </row>
    <row r="2" spans="1:17" ht="15" customHeight="1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36"/>
    </row>
    <row r="3" spans="1:17" ht="15" customHeight="1">
      <c r="A3" s="33" t="s">
        <v>298</v>
      </c>
      <c r="B3" s="2" t="s">
        <v>109</v>
      </c>
      <c r="C3" s="45" t="s">
        <v>310</v>
      </c>
      <c r="D3" s="4">
        <v>60</v>
      </c>
      <c r="E3" s="1">
        <v>244</v>
      </c>
      <c r="F3" s="1">
        <v>177</v>
      </c>
      <c r="G3" s="1">
        <v>191</v>
      </c>
      <c r="H3" s="1">
        <v>293</v>
      </c>
      <c r="I3" s="1">
        <v>113</v>
      </c>
      <c r="J3" s="10"/>
      <c r="K3" s="10"/>
      <c r="L3" s="10"/>
      <c r="M3" s="10"/>
      <c r="N3" s="10"/>
      <c r="O3" s="10"/>
      <c r="P3" s="18"/>
      <c r="Q3" s="16">
        <f>SUM(D3:P3)</f>
        <v>1078</v>
      </c>
    </row>
    <row r="4" spans="1:17" ht="15" customHeight="1">
      <c r="A4" s="33"/>
      <c r="B4" s="2" t="s">
        <v>110</v>
      </c>
      <c r="C4" s="45" t="s">
        <v>310</v>
      </c>
      <c r="D4" s="4">
        <v>65</v>
      </c>
      <c r="E4" s="1">
        <v>151</v>
      </c>
      <c r="F4" s="1">
        <v>74</v>
      </c>
      <c r="G4" s="1">
        <v>52</v>
      </c>
      <c r="H4" s="1">
        <v>69</v>
      </c>
      <c r="I4" s="1">
        <v>61</v>
      </c>
      <c r="J4" s="10"/>
      <c r="K4" s="10"/>
      <c r="L4" s="10"/>
      <c r="M4" s="10"/>
      <c r="N4" s="10"/>
      <c r="O4" s="10"/>
      <c r="P4" s="18"/>
      <c r="Q4" s="16">
        <f t="shared" ref="Q4:Q10" si="0">SUM(D4:P4)</f>
        <v>472</v>
      </c>
    </row>
    <row r="5" spans="1:17" ht="15" customHeight="1">
      <c r="A5" s="33"/>
      <c r="B5" s="2" t="s">
        <v>111</v>
      </c>
      <c r="C5" s="45" t="s">
        <v>310</v>
      </c>
      <c r="D5" s="4">
        <v>60</v>
      </c>
      <c r="E5" s="1">
        <v>73</v>
      </c>
      <c r="F5" s="1">
        <v>123</v>
      </c>
      <c r="G5" s="1">
        <v>132</v>
      </c>
      <c r="H5" s="1">
        <v>205</v>
      </c>
      <c r="I5" s="1">
        <v>88</v>
      </c>
      <c r="J5" s="10"/>
      <c r="K5" s="10"/>
      <c r="L5" s="10"/>
      <c r="M5" s="10"/>
      <c r="N5" s="10"/>
      <c r="O5" s="10"/>
      <c r="P5" s="18"/>
      <c r="Q5" s="16">
        <f t="shared" si="0"/>
        <v>681</v>
      </c>
    </row>
    <row r="6" spans="1:17" ht="15" customHeight="1">
      <c r="A6" s="33"/>
      <c r="B6" s="2" t="s">
        <v>112</v>
      </c>
      <c r="C6" s="45" t="s">
        <v>310</v>
      </c>
      <c r="D6" s="4">
        <v>63</v>
      </c>
      <c r="E6" s="1">
        <v>269</v>
      </c>
      <c r="F6" s="1">
        <v>223</v>
      </c>
      <c r="G6" s="1">
        <v>235</v>
      </c>
      <c r="H6" s="1">
        <v>277</v>
      </c>
      <c r="I6" s="1">
        <v>156</v>
      </c>
      <c r="J6" s="10"/>
      <c r="K6" s="10"/>
      <c r="L6" s="10"/>
      <c r="M6" s="10"/>
      <c r="N6" s="10"/>
      <c r="O6" s="10"/>
      <c r="P6" s="18"/>
      <c r="Q6" s="16">
        <f t="shared" si="0"/>
        <v>1223</v>
      </c>
    </row>
    <row r="7" spans="1:17" ht="15" customHeight="1">
      <c r="A7" s="33"/>
      <c r="B7" s="2" t="s">
        <v>113</v>
      </c>
      <c r="C7" s="45" t="s">
        <v>310</v>
      </c>
      <c r="D7" s="4">
        <v>66</v>
      </c>
      <c r="E7" s="1">
        <v>177</v>
      </c>
      <c r="F7" s="1">
        <v>198</v>
      </c>
      <c r="G7" s="1">
        <v>166</v>
      </c>
      <c r="H7" s="1">
        <v>167</v>
      </c>
      <c r="I7" s="1">
        <v>125</v>
      </c>
      <c r="J7" s="10"/>
      <c r="K7" s="10"/>
      <c r="L7" s="10"/>
      <c r="M7" s="10"/>
      <c r="N7" s="10"/>
      <c r="O7" s="10"/>
      <c r="P7" s="18"/>
      <c r="Q7" s="16">
        <f t="shared" si="0"/>
        <v>899</v>
      </c>
    </row>
    <row r="8" spans="1:17" ht="15" customHeight="1">
      <c r="A8" s="33"/>
      <c r="B8" s="2" t="s">
        <v>114</v>
      </c>
      <c r="C8" s="45" t="s">
        <v>310</v>
      </c>
      <c r="D8" s="4">
        <v>46</v>
      </c>
      <c r="E8" s="1">
        <v>33</v>
      </c>
      <c r="F8" s="1">
        <v>34</v>
      </c>
      <c r="G8" s="1">
        <v>29</v>
      </c>
      <c r="H8" s="1">
        <v>32</v>
      </c>
      <c r="I8" s="1">
        <v>16</v>
      </c>
      <c r="J8" s="10"/>
      <c r="K8" s="10"/>
      <c r="L8" s="10"/>
      <c r="M8" s="10"/>
      <c r="N8" s="10"/>
      <c r="O8" s="10"/>
      <c r="P8" s="18"/>
      <c r="Q8" s="16">
        <f t="shared" si="0"/>
        <v>190</v>
      </c>
    </row>
    <row r="9" spans="1:17" ht="15" customHeight="1">
      <c r="A9" s="33"/>
      <c r="B9" s="2" t="s">
        <v>115</v>
      </c>
      <c r="C9" s="45" t="s">
        <v>311</v>
      </c>
      <c r="D9" s="4"/>
      <c r="E9" s="1"/>
      <c r="F9" s="1"/>
      <c r="G9" s="1"/>
      <c r="H9" s="1"/>
      <c r="I9" s="1"/>
      <c r="J9" s="1">
        <v>515</v>
      </c>
      <c r="K9" s="1">
        <v>469</v>
      </c>
      <c r="L9" s="1">
        <v>412</v>
      </c>
      <c r="M9" s="1">
        <v>348</v>
      </c>
      <c r="N9" s="10"/>
      <c r="O9" s="10"/>
      <c r="P9" s="18"/>
      <c r="Q9" s="16">
        <f t="shared" si="0"/>
        <v>1744</v>
      </c>
    </row>
    <row r="10" spans="1:17" ht="15" customHeight="1">
      <c r="A10" s="33"/>
      <c r="B10" s="2" t="s">
        <v>116</v>
      </c>
      <c r="C10" s="45" t="s">
        <v>312</v>
      </c>
      <c r="D10" s="4"/>
      <c r="E10" s="1"/>
      <c r="F10" s="1"/>
      <c r="G10" s="1"/>
      <c r="H10" s="1"/>
      <c r="I10" s="1"/>
      <c r="J10" s="11"/>
      <c r="K10" s="10"/>
      <c r="L10" s="10"/>
      <c r="M10" s="10"/>
      <c r="N10" s="1">
        <v>155</v>
      </c>
      <c r="O10" s="1">
        <v>151</v>
      </c>
      <c r="P10" s="19">
        <v>189</v>
      </c>
      <c r="Q10" s="16">
        <f t="shared" si="0"/>
        <v>495</v>
      </c>
    </row>
    <row r="11" spans="1:17">
      <c r="A11" s="17" t="s">
        <v>287</v>
      </c>
      <c r="B11" s="16"/>
      <c r="C11" s="16"/>
      <c r="D11" s="16">
        <f>SUM(D3:D10)</f>
        <v>360</v>
      </c>
      <c r="E11" s="16">
        <f t="shared" ref="E11:Q11" si="1">SUM(E3:E10)</f>
        <v>947</v>
      </c>
      <c r="F11" s="16">
        <f t="shared" si="1"/>
        <v>829</v>
      </c>
      <c r="G11" s="16">
        <f t="shared" si="1"/>
        <v>805</v>
      </c>
      <c r="H11" s="16">
        <f t="shared" si="1"/>
        <v>1043</v>
      </c>
      <c r="I11" s="16">
        <f t="shared" si="1"/>
        <v>559</v>
      </c>
      <c r="J11" s="16">
        <f t="shared" si="1"/>
        <v>515</v>
      </c>
      <c r="K11" s="16">
        <f t="shared" si="1"/>
        <v>469</v>
      </c>
      <c r="L11" s="16">
        <f t="shared" si="1"/>
        <v>412</v>
      </c>
      <c r="M11" s="16">
        <f t="shared" si="1"/>
        <v>348</v>
      </c>
      <c r="N11" s="16">
        <f t="shared" si="1"/>
        <v>155</v>
      </c>
      <c r="O11" s="16">
        <f t="shared" si="1"/>
        <v>151</v>
      </c>
      <c r="P11" s="16">
        <f t="shared" si="1"/>
        <v>189</v>
      </c>
      <c r="Q11" s="16">
        <f t="shared" si="1"/>
        <v>6782</v>
      </c>
    </row>
  </sheetData>
  <mergeCells count="7">
    <mergeCell ref="N1:P1"/>
    <mergeCell ref="Q1:Q2"/>
    <mergeCell ref="A1:A2"/>
    <mergeCell ref="A3:A10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0"/>
  <sheetViews>
    <sheetView rightToLeft="1" workbookViewId="0">
      <pane ySplit="2" topLeftCell="A3" activePane="bottomLeft" state="frozen"/>
      <selection pane="bottomLeft" activeCell="C20" sqref="C20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6.57031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36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36"/>
    </row>
    <row r="3" spans="1:17" ht="15" customHeight="1">
      <c r="A3" s="39" t="s">
        <v>61</v>
      </c>
      <c r="B3" s="2" t="s">
        <v>117</v>
      </c>
      <c r="C3" s="45" t="s">
        <v>310</v>
      </c>
      <c r="D3" s="4">
        <v>35</v>
      </c>
      <c r="E3" s="1">
        <v>102</v>
      </c>
      <c r="F3" s="1">
        <v>101</v>
      </c>
      <c r="G3" s="1">
        <v>91</v>
      </c>
      <c r="H3" s="1">
        <v>83</v>
      </c>
      <c r="I3" s="1">
        <v>97</v>
      </c>
      <c r="J3" s="11"/>
      <c r="K3" s="10"/>
      <c r="L3" s="10"/>
      <c r="M3" s="10"/>
      <c r="N3" s="10"/>
      <c r="O3" s="10"/>
      <c r="P3" s="10"/>
      <c r="Q3" s="16">
        <f>SUM(D3:P3)</f>
        <v>509</v>
      </c>
    </row>
    <row r="4" spans="1:17" ht="15" customHeight="1">
      <c r="A4" s="39"/>
      <c r="B4" s="2" t="s">
        <v>118</v>
      </c>
      <c r="C4" s="45" t="s">
        <v>310</v>
      </c>
      <c r="D4" s="4">
        <v>45</v>
      </c>
      <c r="E4" s="1">
        <v>62</v>
      </c>
      <c r="F4" s="1">
        <v>58</v>
      </c>
      <c r="G4" s="1">
        <v>38</v>
      </c>
      <c r="H4" s="1">
        <v>53</v>
      </c>
      <c r="I4" s="1">
        <v>52</v>
      </c>
      <c r="J4" s="10"/>
      <c r="K4" s="10"/>
      <c r="L4" s="10"/>
      <c r="M4" s="10"/>
      <c r="N4" s="10"/>
      <c r="O4" s="10"/>
      <c r="P4" s="10"/>
      <c r="Q4" s="16">
        <f t="shared" ref="Q4:Q19" si="0">SUM(D4:P4)</f>
        <v>308</v>
      </c>
    </row>
    <row r="5" spans="1:17" ht="15" customHeight="1">
      <c r="A5" s="39"/>
      <c r="B5" s="2" t="s">
        <v>119</v>
      </c>
      <c r="C5" s="45" t="s">
        <v>310</v>
      </c>
      <c r="D5" s="4">
        <v>40</v>
      </c>
      <c r="E5" s="1">
        <v>40</v>
      </c>
      <c r="F5" s="1">
        <v>48</v>
      </c>
      <c r="G5" s="1">
        <v>43</v>
      </c>
      <c r="H5" s="1">
        <v>43</v>
      </c>
      <c r="I5" s="1">
        <v>44</v>
      </c>
      <c r="J5" s="10"/>
      <c r="K5" s="10"/>
      <c r="L5" s="10"/>
      <c r="M5" s="10"/>
      <c r="N5" s="10"/>
      <c r="O5" s="10"/>
      <c r="P5" s="10"/>
      <c r="Q5" s="16">
        <f t="shared" si="0"/>
        <v>258</v>
      </c>
    </row>
    <row r="6" spans="1:17" ht="15" customHeight="1">
      <c r="A6" s="39"/>
      <c r="B6" s="2" t="s">
        <v>24</v>
      </c>
      <c r="C6" s="45" t="s">
        <v>310</v>
      </c>
      <c r="D6" s="4">
        <v>50</v>
      </c>
      <c r="E6" s="1">
        <v>46</v>
      </c>
      <c r="F6" s="1">
        <v>35</v>
      </c>
      <c r="G6" s="1">
        <v>52</v>
      </c>
      <c r="H6" s="1">
        <v>45</v>
      </c>
      <c r="I6" s="1">
        <v>43</v>
      </c>
      <c r="J6" s="10"/>
      <c r="K6" s="10"/>
      <c r="L6" s="10"/>
      <c r="M6" s="10"/>
      <c r="N6" s="10"/>
      <c r="O6" s="10"/>
      <c r="P6" s="10"/>
      <c r="Q6" s="16">
        <f t="shared" si="0"/>
        <v>271</v>
      </c>
    </row>
    <row r="7" spans="1:17" ht="15" customHeight="1">
      <c r="A7" s="39"/>
      <c r="B7" s="2" t="s">
        <v>120</v>
      </c>
      <c r="C7" s="45" t="s">
        <v>310</v>
      </c>
      <c r="D7" s="4">
        <v>30</v>
      </c>
      <c r="E7" s="1">
        <v>50</v>
      </c>
      <c r="F7" s="1">
        <v>55</v>
      </c>
      <c r="G7" s="1">
        <v>44</v>
      </c>
      <c r="H7" s="1">
        <v>39</v>
      </c>
      <c r="I7" s="1">
        <v>46</v>
      </c>
      <c r="J7" s="10"/>
      <c r="K7" s="10"/>
      <c r="L7" s="10"/>
      <c r="M7" s="10"/>
      <c r="N7" s="10"/>
      <c r="O7" s="10"/>
      <c r="P7" s="10"/>
      <c r="Q7" s="16">
        <f t="shared" si="0"/>
        <v>264</v>
      </c>
    </row>
    <row r="8" spans="1:17" ht="15" customHeight="1">
      <c r="A8" s="39"/>
      <c r="B8" s="2" t="s">
        <v>25</v>
      </c>
      <c r="C8" s="45" t="s">
        <v>310</v>
      </c>
      <c r="D8" s="4">
        <v>32</v>
      </c>
      <c r="E8" s="1">
        <v>55</v>
      </c>
      <c r="F8" s="1">
        <v>54</v>
      </c>
      <c r="G8" s="1">
        <v>39</v>
      </c>
      <c r="H8" s="1">
        <v>41</v>
      </c>
      <c r="I8" s="1">
        <v>44</v>
      </c>
      <c r="J8" s="10"/>
      <c r="K8" s="10"/>
      <c r="L8" s="10"/>
      <c r="M8" s="10"/>
      <c r="N8" s="10"/>
      <c r="O8" s="10"/>
      <c r="P8" s="10"/>
      <c r="Q8" s="16">
        <f t="shared" si="0"/>
        <v>265</v>
      </c>
    </row>
    <row r="9" spans="1:17" ht="15" customHeight="1">
      <c r="A9" s="39"/>
      <c r="B9" s="2" t="s">
        <v>121</v>
      </c>
      <c r="C9" s="45" t="s">
        <v>310</v>
      </c>
      <c r="D9" s="4">
        <v>43</v>
      </c>
      <c r="E9" s="1">
        <v>31</v>
      </c>
      <c r="F9" s="1">
        <v>52</v>
      </c>
      <c r="G9" s="1">
        <v>40</v>
      </c>
      <c r="H9" s="1">
        <v>42</v>
      </c>
      <c r="I9" s="1">
        <v>31</v>
      </c>
      <c r="J9" s="10"/>
      <c r="K9" s="10"/>
      <c r="L9" s="10"/>
      <c r="M9" s="10"/>
      <c r="N9" s="10"/>
      <c r="O9" s="10"/>
      <c r="P9" s="10"/>
      <c r="Q9" s="16">
        <f t="shared" si="0"/>
        <v>239</v>
      </c>
    </row>
    <row r="10" spans="1:17" ht="15" customHeight="1">
      <c r="A10" s="39"/>
      <c r="B10" s="2" t="s">
        <v>122</v>
      </c>
      <c r="C10" s="45" t="s">
        <v>310</v>
      </c>
      <c r="D10" s="4">
        <v>41</v>
      </c>
      <c r="E10" s="1">
        <v>63</v>
      </c>
      <c r="F10" s="1">
        <v>76</v>
      </c>
      <c r="G10" s="1">
        <v>63</v>
      </c>
      <c r="H10" s="1">
        <v>71</v>
      </c>
      <c r="I10" s="1">
        <v>86</v>
      </c>
      <c r="J10" s="10"/>
      <c r="K10" s="10"/>
      <c r="L10" s="10"/>
      <c r="M10" s="10"/>
      <c r="N10" s="10"/>
      <c r="O10" s="10"/>
      <c r="P10" s="10"/>
      <c r="Q10" s="16">
        <f t="shared" si="0"/>
        <v>400</v>
      </c>
    </row>
    <row r="11" spans="1:17" ht="15" customHeight="1">
      <c r="A11" s="39"/>
      <c r="B11" s="2" t="s">
        <v>123</v>
      </c>
      <c r="C11" s="45" t="s">
        <v>310</v>
      </c>
      <c r="D11" s="4">
        <v>43</v>
      </c>
      <c r="E11" s="1">
        <v>83</v>
      </c>
      <c r="F11" s="1">
        <v>125</v>
      </c>
      <c r="G11" s="1">
        <v>86</v>
      </c>
      <c r="H11" s="1">
        <v>88</v>
      </c>
      <c r="I11" s="1">
        <v>108</v>
      </c>
      <c r="J11" s="10"/>
      <c r="K11" s="10"/>
      <c r="L11" s="10"/>
      <c r="M11" s="10"/>
      <c r="N11" s="10"/>
      <c r="O11" s="10"/>
      <c r="P11" s="10"/>
      <c r="Q11" s="16">
        <f t="shared" si="0"/>
        <v>533</v>
      </c>
    </row>
    <row r="12" spans="1:17" ht="15" customHeight="1">
      <c r="A12" s="39"/>
      <c r="B12" s="2" t="s">
        <v>289</v>
      </c>
      <c r="C12" s="45" t="s">
        <v>310</v>
      </c>
      <c r="D12" s="4">
        <v>40</v>
      </c>
      <c r="E12" s="1">
        <v>51</v>
      </c>
      <c r="F12" s="1">
        <v>53</v>
      </c>
      <c r="G12" s="1">
        <v>31</v>
      </c>
      <c r="H12" s="1">
        <v>24</v>
      </c>
      <c r="I12" s="1">
        <v>21</v>
      </c>
      <c r="J12" s="10"/>
      <c r="K12" s="10"/>
      <c r="L12" s="10"/>
      <c r="M12" s="10"/>
      <c r="N12" s="10"/>
      <c r="O12" s="10"/>
      <c r="P12" s="10"/>
      <c r="Q12" s="16">
        <f t="shared" si="0"/>
        <v>220</v>
      </c>
    </row>
    <row r="13" spans="1:17" ht="15" customHeight="1">
      <c r="A13" s="39"/>
      <c r="B13" s="2" t="s">
        <v>164</v>
      </c>
      <c r="C13" s="45" t="s">
        <v>310</v>
      </c>
      <c r="D13" s="4">
        <v>40</v>
      </c>
      <c r="E13" s="1">
        <v>33</v>
      </c>
      <c r="F13" s="1">
        <v>106</v>
      </c>
      <c r="G13" s="1">
        <v>106</v>
      </c>
      <c r="H13" s="1">
        <v>53</v>
      </c>
      <c r="I13" s="1">
        <v>72</v>
      </c>
      <c r="J13" s="10"/>
      <c r="K13" s="10"/>
      <c r="L13" s="10"/>
      <c r="M13" s="10"/>
      <c r="N13" s="10"/>
      <c r="O13" s="10"/>
      <c r="P13" s="10"/>
      <c r="Q13" s="16">
        <f t="shared" si="0"/>
        <v>410</v>
      </c>
    </row>
    <row r="14" spans="1:17" ht="15" customHeight="1">
      <c r="A14" s="39"/>
      <c r="B14" s="2" t="s">
        <v>124</v>
      </c>
      <c r="C14" s="45" t="s">
        <v>311</v>
      </c>
      <c r="D14" s="4"/>
      <c r="E14" s="1"/>
      <c r="F14" s="1"/>
      <c r="G14" s="1"/>
      <c r="H14" s="1"/>
      <c r="I14" s="1"/>
      <c r="J14" s="1">
        <v>224</v>
      </c>
      <c r="K14" s="1">
        <v>223</v>
      </c>
      <c r="L14" s="1">
        <v>182</v>
      </c>
      <c r="M14" s="1">
        <v>227</v>
      </c>
      <c r="N14" s="10"/>
      <c r="O14" s="10"/>
      <c r="P14" s="10"/>
      <c r="Q14" s="16">
        <f t="shared" si="0"/>
        <v>856</v>
      </c>
    </row>
    <row r="15" spans="1:17" ht="15" customHeight="1">
      <c r="A15" s="39"/>
      <c r="B15" s="2" t="s">
        <v>125</v>
      </c>
      <c r="C15" s="45" t="s">
        <v>311</v>
      </c>
      <c r="D15" s="4"/>
      <c r="E15" s="1"/>
      <c r="F15" s="1"/>
      <c r="G15" s="1"/>
      <c r="H15" s="1"/>
      <c r="I15" s="1"/>
      <c r="J15" s="1">
        <v>256</v>
      </c>
      <c r="K15" s="1">
        <v>237</v>
      </c>
      <c r="L15" s="1">
        <v>172</v>
      </c>
      <c r="M15" s="1">
        <v>189</v>
      </c>
      <c r="N15" s="10"/>
      <c r="O15" s="10"/>
      <c r="P15" s="10"/>
      <c r="Q15" s="16">
        <f t="shared" si="0"/>
        <v>854</v>
      </c>
    </row>
    <row r="16" spans="1:17" ht="15" customHeight="1">
      <c r="A16" s="39"/>
      <c r="B16" s="2" t="s">
        <v>126</v>
      </c>
      <c r="C16" s="45" t="s">
        <v>311</v>
      </c>
      <c r="D16" s="4"/>
      <c r="E16" s="1"/>
      <c r="F16" s="1"/>
      <c r="G16" s="1"/>
      <c r="H16" s="1"/>
      <c r="I16" s="1"/>
      <c r="J16" s="1">
        <v>460</v>
      </c>
      <c r="K16" s="1">
        <v>297</v>
      </c>
      <c r="L16" s="1">
        <v>279</v>
      </c>
      <c r="M16" s="1">
        <v>190</v>
      </c>
      <c r="N16" s="10"/>
      <c r="O16" s="10"/>
      <c r="P16" s="10"/>
      <c r="Q16" s="16">
        <f t="shared" si="0"/>
        <v>1226</v>
      </c>
    </row>
    <row r="17" spans="1:17" ht="15" customHeight="1">
      <c r="A17" s="39"/>
      <c r="B17" s="2" t="s">
        <v>127</v>
      </c>
      <c r="C17" s="45" t="s">
        <v>311</v>
      </c>
      <c r="D17" s="4"/>
      <c r="E17" s="1"/>
      <c r="F17" s="1"/>
      <c r="G17" s="1"/>
      <c r="H17" s="1"/>
      <c r="I17" s="1"/>
      <c r="J17" s="1">
        <v>327</v>
      </c>
      <c r="K17" s="1">
        <v>320</v>
      </c>
      <c r="L17" s="1">
        <v>327</v>
      </c>
      <c r="M17" s="1">
        <v>471</v>
      </c>
      <c r="N17" s="10"/>
      <c r="O17" s="10"/>
      <c r="P17" s="10"/>
      <c r="Q17" s="16">
        <f t="shared" si="0"/>
        <v>1445</v>
      </c>
    </row>
    <row r="18" spans="1:17" ht="15" customHeight="1">
      <c r="A18" s="39"/>
      <c r="B18" s="2" t="s">
        <v>128</v>
      </c>
      <c r="C18" s="45" t="s">
        <v>312</v>
      </c>
      <c r="D18" s="4"/>
      <c r="E18" s="1"/>
      <c r="F18" s="1"/>
      <c r="G18" s="1"/>
      <c r="H18" s="1"/>
      <c r="I18" s="1"/>
      <c r="J18" s="10"/>
      <c r="K18" s="10"/>
      <c r="L18" s="10"/>
      <c r="M18" s="10"/>
      <c r="N18" s="1">
        <v>301</v>
      </c>
      <c r="O18" s="1">
        <v>290</v>
      </c>
      <c r="P18" s="1">
        <v>303</v>
      </c>
      <c r="Q18" s="16">
        <f t="shared" si="0"/>
        <v>894</v>
      </c>
    </row>
    <row r="19" spans="1:17" ht="15" customHeight="1">
      <c r="A19" s="40"/>
      <c r="B19" s="3" t="s">
        <v>181</v>
      </c>
      <c r="C19" s="46" t="s">
        <v>312</v>
      </c>
      <c r="D19" s="9"/>
      <c r="E19" s="7"/>
      <c r="F19" s="7"/>
      <c r="G19" s="7"/>
      <c r="H19" s="7"/>
      <c r="I19" s="7"/>
      <c r="J19" s="12"/>
      <c r="K19" s="12"/>
      <c r="L19" s="12"/>
      <c r="M19" s="12"/>
      <c r="N19" s="7">
        <v>300</v>
      </c>
      <c r="O19" s="7">
        <v>272</v>
      </c>
      <c r="P19" s="7">
        <v>251</v>
      </c>
      <c r="Q19" s="16">
        <f t="shared" si="0"/>
        <v>823</v>
      </c>
    </row>
    <row r="20" spans="1:17">
      <c r="A20" s="22" t="s">
        <v>287</v>
      </c>
      <c r="B20" s="21"/>
      <c r="C20" s="21"/>
      <c r="D20" s="21">
        <f>SUM(D3:D19)</f>
        <v>439</v>
      </c>
      <c r="E20" s="21">
        <f t="shared" ref="E20:Q20" si="1">SUM(E3:E19)</f>
        <v>616</v>
      </c>
      <c r="F20" s="21">
        <f t="shared" si="1"/>
        <v>763</v>
      </c>
      <c r="G20" s="21">
        <f t="shared" si="1"/>
        <v>633</v>
      </c>
      <c r="H20" s="21">
        <f t="shared" si="1"/>
        <v>582</v>
      </c>
      <c r="I20" s="21">
        <f t="shared" si="1"/>
        <v>644</v>
      </c>
      <c r="J20" s="21">
        <f t="shared" si="1"/>
        <v>1267</v>
      </c>
      <c r="K20" s="21">
        <f t="shared" si="1"/>
        <v>1077</v>
      </c>
      <c r="L20" s="21">
        <f t="shared" si="1"/>
        <v>960</v>
      </c>
      <c r="M20" s="21">
        <f t="shared" si="1"/>
        <v>1077</v>
      </c>
      <c r="N20" s="21">
        <f t="shared" si="1"/>
        <v>601</v>
      </c>
      <c r="O20" s="21">
        <f t="shared" si="1"/>
        <v>562</v>
      </c>
      <c r="P20" s="21">
        <f t="shared" si="1"/>
        <v>554</v>
      </c>
      <c r="Q20" s="21">
        <f t="shared" si="1"/>
        <v>9775</v>
      </c>
    </row>
  </sheetData>
  <mergeCells count="7">
    <mergeCell ref="N1:P1"/>
    <mergeCell ref="Q1:Q2"/>
    <mergeCell ref="A1:A2"/>
    <mergeCell ref="A3:A19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8"/>
  <sheetViews>
    <sheetView rightToLeft="1" workbookViewId="0">
      <pane ySplit="2" topLeftCell="A3" activePane="bottomLeft" state="frozen"/>
      <selection pane="bottomLeft" activeCell="C18" sqref="C18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7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36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36"/>
    </row>
    <row r="3" spans="1:17" ht="15" customHeight="1">
      <c r="A3" s="39" t="s">
        <v>62</v>
      </c>
      <c r="B3" s="2" t="s">
        <v>26</v>
      </c>
      <c r="C3" s="45" t="s">
        <v>310</v>
      </c>
      <c r="D3" s="4">
        <v>36</v>
      </c>
      <c r="E3" s="1">
        <v>38</v>
      </c>
      <c r="F3" s="1">
        <v>59</v>
      </c>
      <c r="G3" s="1">
        <v>42</v>
      </c>
      <c r="H3" s="1">
        <v>53</v>
      </c>
      <c r="I3" s="1">
        <v>57</v>
      </c>
      <c r="J3" s="10"/>
      <c r="K3" s="10"/>
      <c r="L3" s="10"/>
      <c r="M3" s="10"/>
      <c r="N3" s="10"/>
      <c r="O3" s="10"/>
      <c r="P3" s="10"/>
      <c r="Q3" s="16">
        <f>SUM(D3:P3)</f>
        <v>285</v>
      </c>
    </row>
    <row r="4" spans="1:17" ht="15" customHeight="1">
      <c r="A4" s="39"/>
      <c r="B4" s="2" t="s">
        <v>129</v>
      </c>
      <c r="C4" s="45" t="s">
        <v>310</v>
      </c>
      <c r="D4" s="4">
        <v>30</v>
      </c>
      <c r="E4" s="1">
        <v>40</v>
      </c>
      <c r="F4" s="1">
        <v>37</v>
      </c>
      <c r="G4" s="1">
        <v>45</v>
      </c>
      <c r="H4" s="1">
        <v>57</v>
      </c>
      <c r="I4" s="1">
        <v>45</v>
      </c>
      <c r="J4" s="10"/>
      <c r="K4" s="10"/>
      <c r="L4" s="10"/>
      <c r="M4" s="10"/>
      <c r="N4" s="10"/>
      <c r="O4" s="10"/>
      <c r="P4" s="10"/>
      <c r="Q4" s="16">
        <f t="shared" ref="Q4:Q17" si="0">SUM(D4:P4)</f>
        <v>254</v>
      </c>
    </row>
    <row r="5" spans="1:17" ht="15" customHeight="1">
      <c r="A5" s="39"/>
      <c r="B5" s="2" t="s">
        <v>130</v>
      </c>
      <c r="C5" s="45" t="s">
        <v>310</v>
      </c>
      <c r="D5" s="4">
        <v>33</v>
      </c>
      <c r="E5" s="1">
        <v>44</v>
      </c>
      <c r="F5" s="1">
        <v>42</v>
      </c>
      <c r="G5" s="1">
        <v>46</v>
      </c>
      <c r="H5" s="1">
        <v>48</v>
      </c>
      <c r="I5" s="1">
        <v>36</v>
      </c>
      <c r="J5" s="10"/>
      <c r="K5" s="10"/>
      <c r="L5" s="10"/>
      <c r="M5" s="10"/>
      <c r="N5" s="10"/>
      <c r="O5" s="10"/>
      <c r="P5" s="10"/>
      <c r="Q5" s="16">
        <f t="shared" si="0"/>
        <v>249</v>
      </c>
    </row>
    <row r="6" spans="1:17" ht="15" customHeight="1">
      <c r="A6" s="39"/>
      <c r="B6" s="2" t="s">
        <v>131</v>
      </c>
      <c r="C6" s="45" t="s">
        <v>310</v>
      </c>
      <c r="D6" s="4">
        <v>35</v>
      </c>
      <c r="E6" s="1">
        <v>56</v>
      </c>
      <c r="F6" s="1">
        <v>66</v>
      </c>
      <c r="G6" s="1">
        <v>53</v>
      </c>
      <c r="H6" s="1">
        <v>59</v>
      </c>
      <c r="I6" s="1">
        <v>47</v>
      </c>
      <c r="J6" s="10"/>
      <c r="K6" s="10"/>
      <c r="L6" s="10"/>
      <c r="M6" s="10"/>
      <c r="N6" s="10"/>
      <c r="O6" s="10"/>
      <c r="P6" s="10"/>
      <c r="Q6" s="16">
        <f t="shared" si="0"/>
        <v>316</v>
      </c>
    </row>
    <row r="7" spans="1:17" ht="15" customHeight="1">
      <c r="A7" s="39"/>
      <c r="B7" s="2" t="s">
        <v>27</v>
      </c>
      <c r="C7" s="45" t="s">
        <v>310</v>
      </c>
      <c r="D7" s="4">
        <v>26</v>
      </c>
      <c r="E7" s="1">
        <v>57</v>
      </c>
      <c r="F7" s="1">
        <v>58</v>
      </c>
      <c r="G7" s="1">
        <v>46</v>
      </c>
      <c r="H7" s="1">
        <v>50</v>
      </c>
      <c r="I7" s="1">
        <v>61</v>
      </c>
      <c r="J7" s="10"/>
      <c r="K7" s="10"/>
      <c r="L7" s="10"/>
      <c r="M7" s="10"/>
      <c r="N7" s="10"/>
      <c r="O7" s="10"/>
      <c r="P7" s="10"/>
      <c r="Q7" s="16">
        <f t="shared" si="0"/>
        <v>298</v>
      </c>
    </row>
    <row r="8" spans="1:17" ht="15" customHeight="1">
      <c r="A8" s="39"/>
      <c r="B8" s="2" t="s">
        <v>132</v>
      </c>
      <c r="C8" s="45" t="s">
        <v>310</v>
      </c>
      <c r="D8" s="4">
        <v>36</v>
      </c>
      <c r="E8" s="1">
        <v>18</v>
      </c>
      <c r="F8" s="1">
        <v>33</v>
      </c>
      <c r="G8" s="1">
        <v>21</v>
      </c>
      <c r="H8" s="1">
        <v>27</v>
      </c>
      <c r="I8" s="1">
        <v>19</v>
      </c>
      <c r="J8" s="10"/>
      <c r="K8" s="10"/>
      <c r="L8" s="10"/>
      <c r="M8" s="10"/>
      <c r="N8" s="10"/>
      <c r="O8" s="10"/>
      <c r="P8" s="10"/>
      <c r="Q8" s="16">
        <f t="shared" si="0"/>
        <v>154</v>
      </c>
    </row>
    <row r="9" spans="1:17" ht="15" customHeight="1">
      <c r="A9" s="39"/>
      <c r="B9" s="2" t="s">
        <v>28</v>
      </c>
      <c r="C9" s="45" t="s">
        <v>310</v>
      </c>
      <c r="D9" s="4">
        <v>33</v>
      </c>
      <c r="E9" s="1">
        <v>36</v>
      </c>
      <c r="F9" s="1">
        <v>65</v>
      </c>
      <c r="G9" s="1">
        <v>59</v>
      </c>
      <c r="H9" s="1">
        <v>55</v>
      </c>
      <c r="I9" s="1">
        <v>47</v>
      </c>
      <c r="J9" s="10"/>
      <c r="K9" s="10"/>
      <c r="L9" s="10"/>
      <c r="M9" s="10"/>
      <c r="N9" s="10"/>
      <c r="O9" s="10"/>
      <c r="P9" s="10"/>
      <c r="Q9" s="16">
        <f t="shared" si="0"/>
        <v>295</v>
      </c>
    </row>
    <row r="10" spans="1:17" ht="15" customHeight="1">
      <c r="A10" s="39"/>
      <c r="B10" s="2" t="s">
        <v>133</v>
      </c>
      <c r="C10" s="45" t="s">
        <v>310</v>
      </c>
      <c r="D10" s="4">
        <v>44</v>
      </c>
      <c r="E10" s="1">
        <v>39</v>
      </c>
      <c r="F10" s="1">
        <v>62</v>
      </c>
      <c r="G10" s="1">
        <v>44</v>
      </c>
      <c r="H10" s="1">
        <v>62</v>
      </c>
      <c r="I10" s="1">
        <v>42</v>
      </c>
      <c r="J10" s="10"/>
      <c r="K10" s="10"/>
      <c r="L10" s="10"/>
      <c r="M10" s="10"/>
      <c r="N10" s="10"/>
      <c r="O10" s="10"/>
      <c r="P10" s="10"/>
      <c r="Q10" s="16">
        <f t="shared" si="0"/>
        <v>293</v>
      </c>
    </row>
    <row r="11" spans="1:17" ht="15" customHeight="1">
      <c r="A11" s="39"/>
      <c r="B11" s="2" t="s">
        <v>134</v>
      </c>
      <c r="C11" s="45" t="s">
        <v>310</v>
      </c>
      <c r="D11" s="4">
        <v>33</v>
      </c>
      <c r="E11" s="1">
        <v>234</v>
      </c>
      <c r="F11" s="1">
        <v>198</v>
      </c>
      <c r="G11" s="1">
        <v>190</v>
      </c>
      <c r="H11" s="1">
        <v>159</v>
      </c>
      <c r="I11" s="1">
        <v>158</v>
      </c>
      <c r="J11" s="10"/>
      <c r="K11" s="10"/>
      <c r="L11" s="10"/>
      <c r="M11" s="10"/>
      <c r="N11" s="10"/>
      <c r="O11" s="10"/>
      <c r="P11" s="10"/>
      <c r="Q11" s="16">
        <f t="shared" si="0"/>
        <v>972</v>
      </c>
    </row>
    <row r="12" spans="1:17" ht="15" customHeight="1">
      <c r="A12" s="39"/>
      <c r="B12" s="2" t="s">
        <v>135</v>
      </c>
      <c r="C12" s="45" t="s">
        <v>310</v>
      </c>
      <c r="D12" s="4">
        <v>32</v>
      </c>
      <c r="E12" s="1">
        <v>47</v>
      </c>
      <c r="F12" s="1">
        <v>68</v>
      </c>
      <c r="G12" s="1">
        <v>33</v>
      </c>
      <c r="H12" s="1">
        <v>43</v>
      </c>
      <c r="I12" s="1">
        <v>49</v>
      </c>
      <c r="J12" s="10"/>
      <c r="K12" s="10"/>
      <c r="L12" s="10"/>
      <c r="M12" s="10"/>
      <c r="N12" s="10"/>
      <c r="O12" s="10"/>
      <c r="P12" s="10"/>
      <c r="Q12" s="16">
        <f t="shared" si="0"/>
        <v>272</v>
      </c>
    </row>
    <row r="13" spans="1:17" ht="15" customHeight="1">
      <c r="A13" s="39"/>
      <c r="B13" s="2" t="s">
        <v>29</v>
      </c>
      <c r="C13" s="45" t="s">
        <v>310</v>
      </c>
      <c r="D13" s="4">
        <v>30</v>
      </c>
      <c r="E13" s="1">
        <v>36</v>
      </c>
      <c r="F13" s="1">
        <v>36</v>
      </c>
      <c r="G13" s="1">
        <v>40</v>
      </c>
      <c r="H13" s="1">
        <v>50</v>
      </c>
      <c r="I13" s="1">
        <v>47</v>
      </c>
      <c r="J13" s="10"/>
      <c r="K13" s="10"/>
      <c r="L13" s="10"/>
      <c r="M13" s="10"/>
      <c r="N13" s="10"/>
      <c r="O13" s="10"/>
      <c r="P13" s="10"/>
      <c r="Q13" s="16">
        <f t="shared" si="0"/>
        <v>239</v>
      </c>
    </row>
    <row r="14" spans="1:17" ht="15" customHeight="1">
      <c r="A14" s="39"/>
      <c r="B14" s="2" t="s">
        <v>136</v>
      </c>
      <c r="C14" s="45" t="s">
        <v>311</v>
      </c>
      <c r="D14" s="4"/>
      <c r="E14" s="1"/>
      <c r="F14" s="1"/>
      <c r="G14" s="1"/>
      <c r="H14" s="1"/>
      <c r="I14" s="1"/>
      <c r="J14" s="1">
        <v>252</v>
      </c>
      <c r="K14" s="1">
        <v>238</v>
      </c>
      <c r="L14" s="1">
        <v>188</v>
      </c>
      <c r="M14" s="1">
        <v>210</v>
      </c>
      <c r="N14" s="10"/>
      <c r="O14" s="10"/>
      <c r="P14" s="10"/>
      <c r="Q14" s="16">
        <f t="shared" si="0"/>
        <v>888</v>
      </c>
    </row>
    <row r="15" spans="1:17" ht="15" customHeight="1">
      <c r="A15" s="39"/>
      <c r="B15" s="2" t="s">
        <v>137</v>
      </c>
      <c r="C15" s="45" t="s">
        <v>311</v>
      </c>
      <c r="D15" s="4"/>
      <c r="E15" s="1"/>
      <c r="F15" s="1"/>
      <c r="G15" s="1"/>
      <c r="H15" s="1"/>
      <c r="I15" s="1"/>
      <c r="J15" s="1">
        <v>406</v>
      </c>
      <c r="K15" s="1">
        <v>240</v>
      </c>
      <c r="L15" s="1">
        <v>239</v>
      </c>
      <c r="M15" s="1">
        <v>339</v>
      </c>
      <c r="N15" s="10"/>
      <c r="O15" s="10"/>
      <c r="P15" s="10"/>
      <c r="Q15" s="16">
        <f t="shared" si="0"/>
        <v>1224</v>
      </c>
    </row>
    <row r="16" spans="1:17" ht="15" customHeight="1">
      <c r="A16" s="39"/>
      <c r="B16" s="2" t="s">
        <v>30</v>
      </c>
      <c r="C16" s="45" t="s">
        <v>311</v>
      </c>
      <c r="D16" s="4"/>
      <c r="E16" s="1"/>
      <c r="F16" s="1"/>
      <c r="G16" s="1"/>
      <c r="H16" s="1"/>
      <c r="I16" s="1"/>
      <c r="J16" s="1">
        <v>137</v>
      </c>
      <c r="K16" s="1">
        <v>127</v>
      </c>
      <c r="L16" s="1">
        <v>169</v>
      </c>
      <c r="M16" s="1">
        <v>173</v>
      </c>
      <c r="N16" s="10"/>
      <c r="O16" s="10"/>
      <c r="P16" s="10"/>
      <c r="Q16" s="16">
        <f t="shared" si="0"/>
        <v>606</v>
      </c>
    </row>
    <row r="17" spans="1:17" ht="15" customHeight="1">
      <c r="A17" s="40"/>
      <c r="B17" s="3" t="s">
        <v>138</v>
      </c>
      <c r="C17" s="46" t="s">
        <v>312</v>
      </c>
      <c r="D17" s="9"/>
      <c r="E17" s="7"/>
      <c r="F17" s="7"/>
      <c r="G17" s="7"/>
      <c r="H17" s="7"/>
      <c r="I17" s="7"/>
      <c r="J17" s="12"/>
      <c r="K17" s="12"/>
      <c r="L17" s="12"/>
      <c r="M17" s="12"/>
      <c r="N17" s="7">
        <v>216</v>
      </c>
      <c r="O17" s="7">
        <v>143</v>
      </c>
      <c r="P17" s="7">
        <v>178</v>
      </c>
      <c r="Q17" s="16">
        <f t="shared" si="0"/>
        <v>537</v>
      </c>
    </row>
    <row r="18" spans="1:17">
      <c r="A18" s="17" t="s">
        <v>287</v>
      </c>
      <c r="B18" s="16"/>
      <c r="C18" s="16"/>
      <c r="D18" s="16">
        <f>SUM(D3:D17)</f>
        <v>368</v>
      </c>
      <c r="E18" s="16">
        <f t="shared" ref="E18:Q18" si="1">SUM(E3:E17)</f>
        <v>645</v>
      </c>
      <c r="F18" s="16">
        <f t="shared" si="1"/>
        <v>724</v>
      </c>
      <c r="G18" s="16">
        <f t="shared" si="1"/>
        <v>619</v>
      </c>
      <c r="H18" s="16">
        <f t="shared" si="1"/>
        <v>663</v>
      </c>
      <c r="I18" s="16">
        <f t="shared" si="1"/>
        <v>608</v>
      </c>
      <c r="J18" s="16">
        <f t="shared" si="1"/>
        <v>795</v>
      </c>
      <c r="K18" s="16">
        <f t="shared" si="1"/>
        <v>605</v>
      </c>
      <c r="L18" s="16">
        <f t="shared" si="1"/>
        <v>596</v>
      </c>
      <c r="M18" s="16">
        <f t="shared" si="1"/>
        <v>722</v>
      </c>
      <c r="N18" s="16">
        <f t="shared" si="1"/>
        <v>216</v>
      </c>
      <c r="O18" s="16">
        <f t="shared" si="1"/>
        <v>143</v>
      </c>
      <c r="P18" s="16">
        <f t="shared" si="1"/>
        <v>178</v>
      </c>
      <c r="Q18" s="16">
        <f t="shared" si="1"/>
        <v>6882</v>
      </c>
    </row>
  </sheetData>
  <mergeCells count="7">
    <mergeCell ref="N1:P1"/>
    <mergeCell ref="Q1:Q2"/>
    <mergeCell ref="A1:A2"/>
    <mergeCell ref="A3:A17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7"/>
  <sheetViews>
    <sheetView rightToLeft="1" workbookViewId="0">
      <pane ySplit="2" topLeftCell="A3" activePane="bottomLeft" state="frozen"/>
      <selection pane="bottomLeft" activeCell="C17" sqref="C17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6.42578125" style="47" customWidth="1"/>
    <col min="4" max="4" width="7.28515625" bestFit="1" customWidth="1"/>
    <col min="11" max="11" width="8.42578125" customWidth="1"/>
  </cols>
  <sheetData>
    <row r="1" spans="1:17" ht="15" customHeight="1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1" t="s">
        <v>296</v>
      </c>
    </row>
    <row r="2" spans="1:17" ht="15" customHeight="1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2"/>
    </row>
    <row r="3" spans="1:17" ht="15" customHeight="1">
      <c r="A3" s="39" t="s">
        <v>63</v>
      </c>
      <c r="B3" s="2" t="s">
        <v>31</v>
      </c>
      <c r="C3" s="45" t="s">
        <v>310</v>
      </c>
      <c r="D3" s="4">
        <v>58</v>
      </c>
      <c r="E3" s="1">
        <v>105</v>
      </c>
      <c r="F3" s="1">
        <v>118</v>
      </c>
      <c r="G3" s="1">
        <v>110</v>
      </c>
      <c r="H3" s="1">
        <v>129</v>
      </c>
      <c r="I3" s="1">
        <v>101</v>
      </c>
      <c r="J3" s="10"/>
      <c r="K3" s="10"/>
      <c r="L3" s="10"/>
      <c r="M3" s="10"/>
      <c r="N3" s="10"/>
      <c r="O3" s="10"/>
      <c r="P3" s="10"/>
      <c r="Q3" s="16">
        <f>SUM(D3:P3)</f>
        <v>621</v>
      </c>
    </row>
    <row r="4" spans="1:17" ht="15" customHeight="1">
      <c r="A4" s="39"/>
      <c r="B4" s="2" t="s">
        <v>32</v>
      </c>
      <c r="C4" s="45" t="s">
        <v>310</v>
      </c>
      <c r="D4" s="4">
        <v>66</v>
      </c>
      <c r="E4" s="1">
        <v>104</v>
      </c>
      <c r="F4" s="1">
        <v>69</v>
      </c>
      <c r="G4" s="1">
        <v>59</v>
      </c>
      <c r="H4" s="1">
        <v>75</v>
      </c>
      <c r="I4" s="1">
        <v>60</v>
      </c>
      <c r="J4" s="10"/>
      <c r="K4" s="10"/>
      <c r="L4" s="10"/>
      <c r="M4" s="10"/>
      <c r="N4" s="10"/>
      <c r="O4" s="10"/>
      <c r="P4" s="10"/>
      <c r="Q4" s="16">
        <f t="shared" ref="Q4:Q16" si="0">SUM(D4:P4)</f>
        <v>433</v>
      </c>
    </row>
    <row r="5" spans="1:17" ht="15" customHeight="1">
      <c r="A5" s="39"/>
      <c r="B5" s="2" t="s">
        <v>139</v>
      </c>
      <c r="C5" s="45" t="s">
        <v>310</v>
      </c>
      <c r="D5" s="4">
        <v>57</v>
      </c>
      <c r="E5" s="1">
        <v>31</v>
      </c>
      <c r="F5" s="1">
        <v>29</v>
      </c>
      <c r="G5" s="1">
        <v>27</v>
      </c>
      <c r="H5" s="1">
        <v>28</v>
      </c>
      <c r="I5" s="1">
        <v>24</v>
      </c>
      <c r="J5" s="10"/>
      <c r="K5" s="10"/>
      <c r="L5" s="10"/>
      <c r="M5" s="10"/>
      <c r="N5" s="10"/>
      <c r="O5" s="10"/>
      <c r="P5" s="10"/>
      <c r="Q5" s="16">
        <f t="shared" si="0"/>
        <v>196</v>
      </c>
    </row>
    <row r="6" spans="1:17" ht="15" customHeight="1">
      <c r="A6" s="39"/>
      <c r="B6" s="2" t="s">
        <v>33</v>
      </c>
      <c r="C6" s="45" t="s">
        <v>310</v>
      </c>
      <c r="D6" s="4">
        <v>62</v>
      </c>
      <c r="E6" s="1">
        <v>48</v>
      </c>
      <c r="F6" s="1">
        <v>63</v>
      </c>
      <c r="G6" s="1">
        <v>62</v>
      </c>
      <c r="H6" s="1">
        <v>48</v>
      </c>
      <c r="I6" s="1">
        <v>56</v>
      </c>
      <c r="J6" s="10"/>
      <c r="K6" s="10"/>
      <c r="L6" s="10"/>
      <c r="M6" s="10"/>
      <c r="N6" s="10"/>
      <c r="O6" s="10"/>
      <c r="P6" s="10"/>
      <c r="Q6" s="16">
        <f t="shared" si="0"/>
        <v>339</v>
      </c>
    </row>
    <row r="7" spans="1:17" ht="15" customHeight="1">
      <c r="A7" s="39"/>
      <c r="B7" s="2" t="s">
        <v>34</v>
      </c>
      <c r="C7" s="45" t="s">
        <v>310</v>
      </c>
      <c r="D7" s="4">
        <v>58</v>
      </c>
      <c r="E7" s="1">
        <v>78</v>
      </c>
      <c r="F7" s="1">
        <v>103</v>
      </c>
      <c r="G7" s="1">
        <v>73</v>
      </c>
      <c r="H7" s="1">
        <v>96</v>
      </c>
      <c r="I7" s="1">
        <v>83</v>
      </c>
      <c r="J7" s="10"/>
      <c r="K7" s="10"/>
      <c r="L7" s="10"/>
      <c r="M7" s="10"/>
      <c r="N7" s="10"/>
      <c r="O7" s="10"/>
      <c r="P7" s="10"/>
      <c r="Q7" s="16">
        <f t="shared" si="0"/>
        <v>491</v>
      </c>
    </row>
    <row r="8" spans="1:17" ht="15" customHeight="1">
      <c r="A8" s="39"/>
      <c r="B8" s="2" t="s">
        <v>140</v>
      </c>
      <c r="C8" s="45" t="s">
        <v>310</v>
      </c>
      <c r="D8" s="4">
        <v>57</v>
      </c>
      <c r="E8" s="1">
        <v>79</v>
      </c>
      <c r="F8" s="1">
        <v>81</v>
      </c>
      <c r="G8" s="1">
        <v>87</v>
      </c>
      <c r="H8" s="1">
        <v>95</v>
      </c>
      <c r="I8" s="1">
        <v>96</v>
      </c>
      <c r="J8" s="10"/>
      <c r="K8" s="10"/>
      <c r="L8" s="10"/>
      <c r="M8" s="10"/>
      <c r="N8" s="10"/>
      <c r="O8" s="10"/>
      <c r="P8" s="10"/>
      <c r="Q8" s="16">
        <f t="shared" si="0"/>
        <v>495</v>
      </c>
    </row>
    <row r="9" spans="1:17" ht="15" customHeight="1">
      <c r="A9" s="39"/>
      <c r="B9" s="2" t="s">
        <v>35</v>
      </c>
      <c r="C9" s="45" t="s">
        <v>310</v>
      </c>
      <c r="D9" s="4">
        <v>49</v>
      </c>
      <c r="E9" s="1">
        <v>63</v>
      </c>
      <c r="F9" s="1">
        <v>84</v>
      </c>
      <c r="G9" s="1">
        <v>83</v>
      </c>
      <c r="H9" s="1">
        <v>79</v>
      </c>
      <c r="I9" s="1">
        <v>82</v>
      </c>
      <c r="J9" s="10"/>
      <c r="K9" s="10"/>
      <c r="L9" s="10"/>
      <c r="M9" s="10"/>
      <c r="N9" s="10"/>
      <c r="O9" s="10"/>
      <c r="P9" s="10"/>
      <c r="Q9" s="16">
        <f t="shared" si="0"/>
        <v>440</v>
      </c>
    </row>
    <row r="10" spans="1:17" ht="15" customHeight="1">
      <c r="A10" s="39"/>
      <c r="B10" s="2" t="s">
        <v>141</v>
      </c>
      <c r="C10" s="45" t="s">
        <v>311</v>
      </c>
      <c r="D10" s="4"/>
      <c r="E10" s="1"/>
      <c r="F10" s="1"/>
      <c r="G10" s="1"/>
      <c r="H10" s="1"/>
      <c r="I10" s="1"/>
      <c r="J10" s="1">
        <v>163</v>
      </c>
      <c r="K10" s="1">
        <v>145</v>
      </c>
      <c r="L10" s="1">
        <v>160</v>
      </c>
      <c r="M10" s="1">
        <v>153</v>
      </c>
      <c r="N10" s="10"/>
      <c r="O10" s="10"/>
      <c r="P10" s="10"/>
      <c r="Q10" s="16">
        <f t="shared" si="0"/>
        <v>621</v>
      </c>
    </row>
    <row r="11" spans="1:17" ht="15" customHeight="1">
      <c r="A11" s="39"/>
      <c r="B11" s="2" t="s">
        <v>36</v>
      </c>
      <c r="C11" s="45" t="s">
        <v>311</v>
      </c>
      <c r="D11" s="4"/>
      <c r="E11" s="1"/>
      <c r="F11" s="1"/>
      <c r="G11" s="1"/>
      <c r="H11" s="1"/>
      <c r="I11" s="1"/>
      <c r="J11" s="1">
        <v>161</v>
      </c>
      <c r="K11" s="1">
        <v>171</v>
      </c>
      <c r="L11" s="1">
        <v>179</v>
      </c>
      <c r="M11" s="1">
        <v>167</v>
      </c>
      <c r="N11" s="10"/>
      <c r="O11" s="10"/>
      <c r="P11" s="10"/>
      <c r="Q11" s="16">
        <f t="shared" si="0"/>
        <v>678</v>
      </c>
    </row>
    <row r="12" spans="1:17" ht="15" customHeight="1">
      <c r="A12" s="39"/>
      <c r="B12" s="2" t="s">
        <v>37</v>
      </c>
      <c r="C12" s="45" t="s">
        <v>311</v>
      </c>
      <c r="D12" s="4"/>
      <c r="E12" s="1"/>
      <c r="F12" s="1"/>
      <c r="G12" s="1"/>
      <c r="H12" s="1"/>
      <c r="I12" s="1"/>
      <c r="J12" s="1">
        <v>198</v>
      </c>
      <c r="K12" s="1">
        <v>209</v>
      </c>
      <c r="L12" s="1">
        <v>148</v>
      </c>
      <c r="M12" s="1">
        <v>171</v>
      </c>
      <c r="N12" s="10"/>
      <c r="O12" s="10"/>
      <c r="P12" s="10"/>
      <c r="Q12" s="16">
        <f t="shared" si="0"/>
        <v>726</v>
      </c>
    </row>
    <row r="13" spans="1:17" ht="15" customHeight="1">
      <c r="A13" s="39"/>
      <c r="B13" s="2" t="s">
        <v>38</v>
      </c>
      <c r="C13" s="45" t="s">
        <v>311</v>
      </c>
      <c r="D13" s="4"/>
      <c r="E13" s="1"/>
      <c r="F13" s="1"/>
      <c r="G13" s="1"/>
      <c r="H13" s="1"/>
      <c r="I13" s="1"/>
      <c r="J13" s="1">
        <v>234</v>
      </c>
      <c r="K13" s="1">
        <v>223</v>
      </c>
      <c r="L13" s="1">
        <v>229</v>
      </c>
      <c r="M13" s="1">
        <v>232</v>
      </c>
      <c r="N13" s="10"/>
      <c r="O13" s="10"/>
      <c r="P13" s="10"/>
      <c r="Q13" s="16">
        <f t="shared" si="0"/>
        <v>918</v>
      </c>
    </row>
    <row r="14" spans="1:17" ht="15" customHeight="1">
      <c r="A14" s="39"/>
      <c r="B14" s="2" t="s">
        <v>142</v>
      </c>
      <c r="C14" s="45" t="s">
        <v>312</v>
      </c>
      <c r="D14" s="4"/>
      <c r="E14" s="1"/>
      <c r="F14" s="1"/>
      <c r="G14" s="1"/>
      <c r="H14" s="1"/>
      <c r="I14" s="1"/>
      <c r="J14" s="10"/>
      <c r="K14" s="10"/>
      <c r="L14" s="10"/>
      <c r="M14" s="10"/>
      <c r="N14" s="1">
        <v>179</v>
      </c>
      <c r="O14" s="1">
        <v>211</v>
      </c>
      <c r="P14" s="1">
        <v>244</v>
      </c>
      <c r="Q14" s="16">
        <f t="shared" si="0"/>
        <v>634</v>
      </c>
    </row>
    <row r="15" spans="1:17" ht="15" customHeight="1">
      <c r="A15" s="39"/>
      <c r="B15" s="2" t="s">
        <v>143</v>
      </c>
      <c r="C15" s="45" t="s">
        <v>312</v>
      </c>
      <c r="D15" s="4"/>
      <c r="E15" s="1"/>
      <c r="F15" s="1"/>
      <c r="G15" s="1"/>
      <c r="H15" s="1"/>
      <c r="I15" s="1"/>
      <c r="J15" s="10"/>
      <c r="K15" s="10"/>
      <c r="L15" s="10"/>
      <c r="M15" s="10"/>
      <c r="N15" s="1">
        <v>337</v>
      </c>
      <c r="O15" s="1">
        <v>256</v>
      </c>
      <c r="P15" s="1">
        <v>321</v>
      </c>
      <c r="Q15" s="16">
        <f t="shared" si="0"/>
        <v>914</v>
      </c>
    </row>
    <row r="16" spans="1:17" ht="15" customHeight="1">
      <c r="A16" s="40"/>
      <c r="B16" s="3" t="s">
        <v>144</v>
      </c>
      <c r="C16" s="46" t="s">
        <v>312</v>
      </c>
      <c r="D16" s="9"/>
      <c r="E16" s="7"/>
      <c r="F16" s="7"/>
      <c r="G16" s="7"/>
      <c r="H16" s="7"/>
      <c r="I16" s="7"/>
      <c r="J16" s="12"/>
      <c r="K16" s="12"/>
      <c r="L16" s="12"/>
      <c r="M16" s="12"/>
      <c r="N16" s="7">
        <v>192</v>
      </c>
      <c r="O16" s="7">
        <v>193</v>
      </c>
      <c r="P16" s="7">
        <v>220</v>
      </c>
      <c r="Q16" s="16">
        <f t="shared" si="0"/>
        <v>605</v>
      </c>
    </row>
    <row r="17" spans="1:17" ht="15" customHeight="1">
      <c r="A17" s="17" t="s">
        <v>287</v>
      </c>
      <c r="B17" s="16"/>
      <c r="C17" s="16"/>
      <c r="D17" s="16">
        <f>SUM(D3:D16)</f>
        <v>407</v>
      </c>
      <c r="E17" s="16">
        <f t="shared" ref="E17:Q17" si="1">SUM(E3:E16)</f>
        <v>508</v>
      </c>
      <c r="F17" s="16">
        <f t="shared" si="1"/>
        <v>547</v>
      </c>
      <c r="G17" s="16">
        <f t="shared" si="1"/>
        <v>501</v>
      </c>
      <c r="H17" s="16">
        <f t="shared" si="1"/>
        <v>550</v>
      </c>
      <c r="I17" s="16">
        <f t="shared" si="1"/>
        <v>502</v>
      </c>
      <c r="J17" s="16">
        <f t="shared" si="1"/>
        <v>756</v>
      </c>
      <c r="K17" s="16">
        <f t="shared" si="1"/>
        <v>748</v>
      </c>
      <c r="L17" s="16">
        <f t="shared" si="1"/>
        <v>716</v>
      </c>
      <c r="M17" s="16">
        <f t="shared" si="1"/>
        <v>723</v>
      </c>
      <c r="N17" s="16">
        <f t="shared" si="1"/>
        <v>708</v>
      </c>
      <c r="O17" s="16">
        <f t="shared" si="1"/>
        <v>660</v>
      </c>
      <c r="P17" s="16">
        <f t="shared" si="1"/>
        <v>785</v>
      </c>
      <c r="Q17" s="16">
        <f t="shared" si="1"/>
        <v>8111</v>
      </c>
    </row>
  </sheetData>
  <mergeCells count="7">
    <mergeCell ref="N1:P1"/>
    <mergeCell ref="Q1:Q2"/>
    <mergeCell ref="A1:A2"/>
    <mergeCell ref="A3:A16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8"/>
  <sheetViews>
    <sheetView rightToLeft="1" workbookViewId="0">
      <pane ySplit="2" topLeftCell="A6" activePane="bottomLeft" state="frozen"/>
      <selection pane="bottomLeft" activeCell="C28" sqref="C28"/>
    </sheetView>
  </sheetViews>
  <sheetFormatPr baseColWidth="10" defaultColWidth="9" defaultRowHeight="15"/>
  <cols>
    <col min="1" max="1" width="13.28515625" customWidth="1"/>
    <col min="2" max="2" width="40.85546875" customWidth="1"/>
    <col min="3" max="3" width="6.285156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1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2"/>
    </row>
    <row r="3" spans="1:17" ht="15" customHeight="1">
      <c r="A3" s="39" t="s">
        <v>299</v>
      </c>
      <c r="B3" s="2" t="s">
        <v>145</v>
      </c>
      <c r="C3" s="45" t="s">
        <v>310</v>
      </c>
      <c r="D3" s="4">
        <v>60</v>
      </c>
      <c r="E3" s="1">
        <v>102</v>
      </c>
      <c r="F3" s="1">
        <v>131</v>
      </c>
      <c r="G3" s="1">
        <v>101</v>
      </c>
      <c r="H3" s="1">
        <v>194</v>
      </c>
      <c r="I3" s="1">
        <v>110</v>
      </c>
      <c r="J3" s="10"/>
      <c r="K3" s="10"/>
      <c r="L3" s="10"/>
      <c r="M3" s="10"/>
      <c r="N3" s="10"/>
      <c r="O3" s="10"/>
      <c r="P3" s="10"/>
      <c r="Q3" s="16">
        <f>SUM(D3:P3)</f>
        <v>698</v>
      </c>
    </row>
    <row r="4" spans="1:17" ht="15" customHeight="1">
      <c r="A4" s="39"/>
      <c r="B4" s="6" t="s">
        <v>146</v>
      </c>
      <c r="C4" s="45" t="s">
        <v>310</v>
      </c>
      <c r="D4" s="4">
        <v>62</v>
      </c>
      <c r="E4" s="1">
        <v>110</v>
      </c>
      <c r="F4" s="1">
        <v>99</v>
      </c>
      <c r="G4" s="1">
        <v>77</v>
      </c>
      <c r="H4" s="1">
        <v>128</v>
      </c>
      <c r="I4" s="1">
        <v>96</v>
      </c>
      <c r="J4" s="10"/>
      <c r="K4" s="10"/>
      <c r="L4" s="10"/>
      <c r="M4" s="10"/>
      <c r="N4" s="10"/>
      <c r="O4" s="10"/>
      <c r="P4" s="10"/>
      <c r="Q4" s="16">
        <f t="shared" ref="Q4:Q27" si="0">SUM(D4:P4)</f>
        <v>572</v>
      </c>
    </row>
    <row r="5" spans="1:17" ht="15" customHeight="1">
      <c r="A5" s="39"/>
      <c r="B5" s="2" t="s">
        <v>147</v>
      </c>
      <c r="C5" s="45" t="s">
        <v>310</v>
      </c>
      <c r="D5" s="4">
        <v>63</v>
      </c>
      <c r="E5" s="1">
        <v>102</v>
      </c>
      <c r="F5" s="1">
        <v>68</v>
      </c>
      <c r="G5" s="1">
        <v>75</v>
      </c>
      <c r="H5" s="1">
        <v>93</v>
      </c>
      <c r="I5" s="1">
        <v>76</v>
      </c>
      <c r="J5" s="10"/>
      <c r="K5" s="10"/>
      <c r="L5" s="10"/>
      <c r="M5" s="10"/>
      <c r="N5" s="10"/>
      <c r="O5" s="10"/>
      <c r="P5" s="10"/>
      <c r="Q5" s="16">
        <f t="shared" si="0"/>
        <v>477</v>
      </c>
    </row>
    <row r="6" spans="1:17" ht="15" customHeight="1">
      <c r="A6" s="39"/>
      <c r="B6" s="2" t="s">
        <v>39</v>
      </c>
      <c r="C6" s="45" t="s">
        <v>310</v>
      </c>
      <c r="D6" s="4">
        <v>61</v>
      </c>
      <c r="E6" s="1">
        <v>88</v>
      </c>
      <c r="F6" s="1">
        <v>107</v>
      </c>
      <c r="G6" s="1">
        <v>123</v>
      </c>
      <c r="H6" s="1">
        <v>125</v>
      </c>
      <c r="I6" s="1">
        <v>102</v>
      </c>
      <c r="J6" s="10"/>
      <c r="K6" s="10"/>
      <c r="L6" s="10"/>
      <c r="M6" s="10"/>
      <c r="N6" s="10"/>
      <c r="O6" s="10"/>
      <c r="P6" s="10"/>
      <c r="Q6" s="16">
        <f t="shared" si="0"/>
        <v>606</v>
      </c>
    </row>
    <row r="7" spans="1:17" ht="15" customHeight="1">
      <c r="A7" s="39"/>
      <c r="B7" s="2" t="s">
        <v>40</v>
      </c>
      <c r="C7" s="45" t="s">
        <v>310</v>
      </c>
      <c r="D7" s="4">
        <v>66</v>
      </c>
      <c r="E7" s="1">
        <v>67</v>
      </c>
      <c r="F7" s="1">
        <v>87</v>
      </c>
      <c r="G7" s="1">
        <v>98</v>
      </c>
      <c r="H7" s="1">
        <v>99</v>
      </c>
      <c r="I7" s="1">
        <v>91</v>
      </c>
      <c r="J7" s="10"/>
      <c r="K7" s="10"/>
      <c r="L7" s="10"/>
      <c r="M7" s="10"/>
      <c r="N7" s="10"/>
      <c r="O7" s="10"/>
      <c r="P7" s="10"/>
      <c r="Q7" s="16">
        <f t="shared" si="0"/>
        <v>508</v>
      </c>
    </row>
    <row r="8" spans="1:17" ht="15" customHeight="1">
      <c r="A8" s="39"/>
      <c r="B8" s="2" t="s">
        <v>41</v>
      </c>
      <c r="C8" s="45" t="s">
        <v>310</v>
      </c>
      <c r="D8" s="4">
        <v>55</v>
      </c>
      <c r="E8" s="1">
        <v>78</v>
      </c>
      <c r="F8" s="1">
        <v>117</v>
      </c>
      <c r="G8" s="1">
        <v>88</v>
      </c>
      <c r="H8" s="1">
        <v>101</v>
      </c>
      <c r="I8" s="1">
        <v>93</v>
      </c>
      <c r="J8" s="10"/>
      <c r="K8" s="10"/>
      <c r="L8" s="10"/>
      <c r="M8" s="10"/>
      <c r="N8" s="10"/>
      <c r="O8" s="10"/>
      <c r="P8" s="10"/>
      <c r="Q8" s="16">
        <f t="shared" si="0"/>
        <v>532</v>
      </c>
    </row>
    <row r="9" spans="1:17" ht="15" customHeight="1">
      <c r="A9" s="39"/>
      <c r="B9" s="2" t="s">
        <v>42</v>
      </c>
      <c r="C9" s="45" t="s">
        <v>310</v>
      </c>
      <c r="D9" s="4">
        <v>67</v>
      </c>
      <c r="E9" s="1">
        <v>62</v>
      </c>
      <c r="F9" s="1">
        <v>50</v>
      </c>
      <c r="G9" s="1">
        <v>68</v>
      </c>
      <c r="H9" s="1">
        <v>58</v>
      </c>
      <c r="I9" s="1">
        <v>67</v>
      </c>
      <c r="J9" s="10"/>
      <c r="K9" s="10"/>
      <c r="L9" s="10"/>
      <c r="M9" s="10"/>
      <c r="N9" s="10"/>
      <c r="O9" s="10"/>
      <c r="P9" s="10"/>
      <c r="Q9" s="16">
        <f t="shared" si="0"/>
        <v>372</v>
      </c>
    </row>
    <row r="10" spans="1:17" ht="15" customHeight="1">
      <c r="A10" s="39"/>
      <c r="B10" s="2" t="s">
        <v>148</v>
      </c>
      <c r="C10" s="45" t="s">
        <v>310</v>
      </c>
      <c r="D10" s="4">
        <v>55</v>
      </c>
      <c r="E10" s="1">
        <v>80</v>
      </c>
      <c r="F10" s="1">
        <v>95</v>
      </c>
      <c r="G10" s="1">
        <v>98</v>
      </c>
      <c r="H10" s="1">
        <v>87</v>
      </c>
      <c r="I10" s="1">
        <v>81</v>
      </c>
      <c r="J10" s="10"/>
      <c r="K10" s="10"/>
      <c r="L10" s="10"/>
      <c r="M10" s="10"/>
      <c r="N10" s="10"/>
      <c r="O10" s="10"/>
      <c r="P10" s="10"/>
      <c r="Q10" s="16">
        <f t="shared" si="0"/>
        <v>496</v>
      </c>
    </row>
    <row r="11" spans="1:17" ht="15" customHeight="1">
      <c r="A11" s="39"/>
      <c r="B11" s="2" t="s">
        <v>179</v>
      </c>
      <c r="C11" s="45" t="s">
        <v>310</v>
      </c>
      <c r="D11" s="4">
        <v>52</v>
      </c>
      <c r="E11" s="1">
        <v>46</v>
      </c>
      <c r="F11" s="1">
        <v>62</v>
      </c>
      <c r="G11" s="1">
        <v>57</v>
      </c>
      <c r="H11" s="1">
        <v>71</v>
      </c>
      <c r="I11" s="1">
        <v>43</v>
      </c>
      <c r="J11" s="10"/>
      <c r="K11" s="10"/>
      <c r="L11" s="10"/>
      <c r="M11" s="10"/>
      <c r="N11" s="10"/>
      <c r="O11" s="10"/>
      <c r="P11" s="10"/>
      <c r="Q11" s="16">
        <f t="shared" si="0"/>
        <v>331</v>
      </c>
    </row>
    <row r="12" spans="1:17" ht="15" customHeight="1">
      <c r="A12" s="39"/>
      <c r="B12" s="2" t="s">
        <v>149</v>
      </c>
      <c r="C12" s="45" t="s">
        <v>310</v>
      </c>
      <c r="D12" s="4">
        <v>60</v>
      </c>
      <c r="E12" s="1">
        <v>81</v>
      </c>
      <c r="F12" s="1">
        <v>87</v>
      </c>
      <c r="G12" s="1">
        <v>70</v>
      </c>
      <c r="H12" s="1">
        <v>88</v>
      </c>
      <c r="I12" s="1">
        <v>58</v>
      </c>
      <c r="J12" s="10"/>
      <c r="K12" s="10"/>
      <c r="L12" s="10"/>
      <c r="M12" s="10"/>
      <c r="N12" s="10"/>
      <c r="O12" s="10"/>
      <c r="P12" s="10"/>
      <c r="Q12" s="16">
        <f t="shared" si="0"/>
        <v>444</v>
      </c>
    </row>
    <row r="13" spans="1:17" ht="15" customHeight="1">
      <c r="A13" s="39"/>
      <c r="B13" s="2" t="s">
        <v>150</v>
      </c>
      <c r="C13" s="45" t="s">
        <v>310</v>
      </c>
      <c r="D13" s="4">
        <v>63</v>
      </c>
      <c r="E13" s="1">
        <v>47</v>
      </c>
      <c r="F13" s="1">
        <v>69</v>
      </c>
      <c r="G13" s="1">
        <v>36</v>
      </c>
      <c r="H13" s="1">
        <v>59</v>
      </c>
      <c r="I13" s="1">
        <v>44</v>
      </c>
      <c r="J13" s="10"/>
      <c r="K13" s="10"/>
      <c r="L13" s="10"/>
      <c r="M13" s="10"/>
      <c r="N13" s="10"/>
      <c r="O13" s="10"/>
      <c r="P13" s="10"/>
      <c r="Q13" s="16">
        <f t="shared" si="0"/>
        <v>318</v>
      </c>
    </row>
    <row r="14" spans="1:17" ht="15" customHeight="1">
      <c r="A14" s="39"/>
      <c r="B14" s="2" t="s">
        <v>151</v>
      </c>
      <c r="C14" s="45" t="s">
        <v>310</v>
      </c>
      <c r="D14" s="4">
        <v>50</v>
      </c>
      <c r="E14" s="1">
        <v>38</v>
      </c>
      <c r="F14" s="1">
        <v>56</v>
      </c>
      <c r="G14" s="1">
        <v>53</v>
      </c>
      <c r="H14" s="1">
        <v>62</v>
      </c>
      <c r="I14" s="1">
        <v>50</v>
      </c>
      <c r="J14" s="10"/>
      <c r="K14" s="10"/>
      <c r="L14" s="10"/>
      <c r="M14" s="10"/>
      <c r="N14" s="10"/>
      <c r="O14" s="10"/>
      <c r="P14" s="10"/>
      <c r="Q14" s="16">
        <f t="shared" si="0"/>
        <v>309</v>
      </c>
    </row>
    <row r="15" spans="1:17" ht="15" customHeight="1">
      <c r="A15" s="39"/>
      <c r="B15" s="2" t="s">
        <v>152</v>
      </c>
      <c r="C15" s="45" t="s">
        <v>310</v>
      </c>
      <c r="D15" s="4">
        <v>47</v>
      </c>
      <c r="E15" s="1">
        <v>56</v>
      </c>
      <c r="F15" s="1">
        <v>70</v>
      </c>
      <c r="G15" s="1">
        <v>64</v>
      </c>
      <c r="H15" s="1">
        <v>64</v>
      </c>
      <c r="I15" s="1">
        <v>48</v>
      </c>
      <c r="J15" s="11"/>
      <c r="K15" s="11"/>
      <c r="L15" s="11"/>
      <c r="M15" s="10"/>
      <c r="N15" s="10"/>
      <c r="O15" s="10"/>
      <c r="P15" s="10"/>
      <c r="Q15" s="16">
        <f t="shared" si="0"/>
        <v>349</v>
      </c>
    </row>
    <row r="16" spans="1:17" ht="15" customHeight="1">
      <c r="A16" s="39"/>
      <c r="B16" s="2" t="s">
        <v>43</v>
      </c>
      <c r="C16" s="45" t="s">
        <v>310</v>
      </c>
      <c r="D16" s="4">
        <v>53</v>
      </c>
      <c r="E16" s="1">
        <v>93</v>
      </c>
      <c r="F16" s="1">
        <v>106</v>
      </c>
      <c r="G16" s="1">
        <v>117</v>
      </c>
      <c r="H16" s="1">
        <v>92</v>
      </c>
      <c r="I16" s="1">
        <v>134</v>
      </c>
      <c r="J16" s="11"/>
      <c r="K16" s="11"/>
      <c r="L16" s="11"/>
      <c r="M16" s="10"/>
      <c r="N16" s="10"/>
      <c r="O16" s="10"/>
      <c r="P16" s="10"/>
      <c r="Q16" s="16">
        <f t="shared" si="0"/>
        <v>595</v>
      </c>
    </row>
    <row r="17" spans="1:17" ht="15" customHeight="1">
      <c r="A17" s="39"/>
      <c r="B17" s="2" t="s">
        <v>166</v>
      </c>
      <c r="C17" s="45" t="s">
        <v>310</v>
      </c>
      <c r="D17" s="4">
        <v>59</v>
      </c>
      <c r="E17" s="1">
        <v>67</v>
      </c>
      <c r="F17" s="1">
        <v>121</v>
      </c>
      <c r="G17" s="1">
        <v>74</v>
      </c>
      <c r="H17" s="1">
        <v>80</v>
      </c>
      <c r="I17" s="1">
        <v>76</v>
      </c>
      <c r="J17" s="11"/>
      <c r="K17" s="11"/>
      <c r="L17" s="11"/>
      <c r="M17" s="10"/>
      <c r="N17" s="10"/>
      <c r="O17" s="10"/>
      <c r="P17" s="10"/>
      <c r="Q17" s="16">
        <f t="shared" si="0"/>
        <v>477</v>
      </c>
    </row>
    <row r="18" spans="1:17" ht="15" customHeight="1">
      <c r="A18" s="39"/>
      <c r="B18" s="2" t="s">
        <v>154</v>
      </c>
      <c r="C18" s="45" t="s">
        <v>310</v>
      </c>
      <c r="D18" s="4">
        <v>59</v>
      </c>
      <c r="E18" s="1">
        <v>95</v>
      </c>
      <c r="F18" s="1">
        <v>110</v>
      </c>
      <c r="G18" s="1">
        <v>115</v>
      </c>
      <c r="H18" s="1">
        <v>98</v>
      </c>
      <c r="I18" s="1">
        <v>98</v>
      </c>
      <c r="J18" s="11"/>
      <c r="K18" s="11"/>
      <c r="L18" s="11"/>
      <c r="M18" s="10"/>
      <c r="N18" s="10"/>
      <c r="O18" s="10"/>
      <c r="P18" s="10"/>
      <c r="Q18" s="16">
        <f t="shared" si="0"/>
        <v>575</v>
      </c>
    </row>
    <row r="19" spans="1:17" ht="15" customHeight="1">
      <c r="A19" s="39"/>
      <c r="B19" s="2" t="s">
        <v>155</v>
      </c>
      <c r="C19" s="45" t="s">
        <v>311</v>
      </c>
      <c r="D19" s="4"/>
      <c r="E19" s="1"/>
      <c r="F19" s="1"/>
      <c r="G19" s="1"/>
      <c r="H19" s="1"/>
      <c r="I19" s="1"/>
      <c r="J19" s="1">
        <v>261</v>
      </c>
      <c r="K19" s="1">
        <v>197</v>
      </c>
      <c r="L19" s="1">
        <v>205</v>
      </c>
      <c r="M19" s="1">
        <v>232</v>
      </c>
      <c r="N19" s="10"/>
      <c r="O19" s="10"/>
      <c r="P19" s="10"/>
      <c r="Q19" s="16">
        <f t="shared" si="0"/>
        <v>895</v>
      </c>
    </row>
    <row r="20" spans="1:17" ht="15" customHeight="1">
      <c r="A20" s="39"/>
      <c r="B20" s="2" t="s">
        <v>175</v>
      </c>
      <c r="C20" s="45" t="s">
        <v>311</v>
      </c>
      <c r="D20" s="4"/>
      <c r="E20" s="1"/>
      <c r="F20" s="1"/>
      <c r="G20" s="1"/>
      <c r="H20" s="1"/>
      <c r="I20" s="1"/>
      <c r="J20" s="1">
        <v>116</v>
      </c>
      <c r="K20" s="1">
        <v>257</v>
      </c>
      <c r="L20" s="1">
        <v>259</v>
      </c>
      <c r="M20" s="1">
        <v>135</v>
      </c>
      <c r="N20" s="10"/>
      <c r="O20" s="10"/>
      <c r="P20" s="10"/>
      <c r="Q20" s="16">
        <f t="shared" si="0"/>
        <v>767</v>
      </c>
    </row>
    <row r="21" spans="1:17" ht="15" customHeight="1">
      <c r="A21" s="39"/>
      <c r="B21" s="2" t="s">
        <v>44</v>
      </c>
      <c r="C21" s="45" t="s">
        <v>311</v>
      </c>
      <c r="D21" s="4"/>
      <c r="E21" s="1"/>
      <c r="F21" s="1"/>
      <c r="G21" s="1"/>
      <c r="H21" s="1"/>
      <c r="I21" s="1"/>
      <c r="J21" s="1">
        <v>121</v>
      </c>
      <c r="K21" s="1">
        <v>195</v>
      </c>
      <c r="L21" s="1">
        <v>201</v>
      </c>
      <c r="M21" s="1">
        <v>141</v>
      </c>
      <c r="N21" s="10"/>
      <c r="O21" s="10"/>
      <c r="P21" s="10"/>
      <c r="Q21" s="16">
        <f t="shared" si="0"/>
        <v>658</v>
      </c>
    </row>
    <row r="22" spans="1:17" ht="15" customHeight="1">
      <c r="A22" s="39"/>
      <c r="B22" s="2" t="s">
        <v>156</v>
      </c>
      <c r="C22" s="45" t="s">
        <v>311</v>
      </c>
      <c r="D22" s="4"/>
      <c r="E22" s="1"/>
      <c r="F22" s="1"/>
      <c r="G22" s="1"/>
      <c r="H22" s="1"/>
      <c r="I22" s="1"/>
      <c r="J22" s="1">
        <v>278</v>
      </c>
      <c r="K22" s="1">
        <v>209</v>
      </c>
      <c r="L22" s="1">
        <v>222</v>
      </c>
      <c r="M22" s="1">
        <v>147</v>
      </c>
      <c r="N22" s="10"/>
      <c r="O22" s="10"/>
      <c r="P22" s="10"/>
      <c r="Q22" s="16">
        <f t="shared" si="0"/>
        <v>856</v>
      </c>
    </row>
    <row r="23" spans="1:17" ht="15" customHeight="1">
      <c r="A23" s="39"/>
      <c r="B23" s="2" t="s">
        <v>45</v>
      </c>
      <c r="C23" s="45" t="s">
        <v>311</v>
      </c>
      <c r="D23" s="4"/>
      <c r="E23" s="1"/>
      <c r="F23" s="1"/>
      <c r="G23" s="1"/>
      <c r="H23" s="1"/>
      <c r="I23" s="1"/>
      <c r="J23" s="1">
        <v>219</v>
      </c>
      <c r="K23" s="1">
        <v>118</v>
      </c>
      <c r="L23" s="1">
        <v>117</v>
      </c>
      <c r="M23" s="1">
        <v>93</v>
      </c>
      <c r="N23" s="10"/>
      <c r="O23" s="10"/>
      <c r="P23" s="10"/>
      <c r="Q23" s="16">
        <f t="shared" si="0"/>
        <v>547</v>
      </c>
    </row>
    <row r="24" spans="1:17" ht="15" customHeight="1">
      <c r="A24" s="39"/>
      <c r="B24" s="2" t="s">
        <v>157</v>
      </c>
      <c r="C24" s="45" t="s">
        <v>311</v>
      </c>
      <c r="D24" s="4"/>
      <c r="E24" s="1"/>
      <c r="F24" s="1"/>
      <c r="G24" s="1"/>
      <c r="H24" s="1"/>
      <c r="I24" s="1"/>
      <c r="J24" s="1">
        <v>271</v>
      </c>
      <c r="K24" s="1">
        <v>236</v>
      </c>
      <c r="L24" s="1">
        <v>219</v>
      </c>
      <c r="M24" s="1">
        <v>162</v>
      </c>
      <c r="N24" s="10"/>
      <c r="O24" s="10"/>
      <c r="P24" s="10"/>
      <c r="Q24" s="16">
        <f t="shared" si="0"/>
        <v>888</v>
      </c>
    </row>
    <row r="25" spans="1:17" ht="15" customHeight="1">
      <c r="A25" s="39"/>
      <c r="B25" s="2" t="s">
        <v>158</v>
      </c>
      <c r="C25" s="45" t="s">
        <v>312</v>
      </c>
      <c r="D25" s="4"/>
      <c r="E25" s="1"/>
      <c r="F25" s="1"/>
      <c r="G25" s="1"/>
      <c r="H25" s="1"/>
      <c r="I25" s="1"/>
      <c r="J25" s="11"/>
      <c r="K25" s="11"/>
      <c r="L25" s="11"/>
      <c r="M25" s="10"/>
      <c r="N25" s="1">
        <v>201</v>
      </c>
      <c r="O25" s="1">
        <v>196</v>
      </c>
      <c r="P25" s="1">
        <v>168</v>
      </c>
      <c r="Q25" s="16">
        <f t="shared" si="0"/>
        <v>565</v>
      </c>
    </row>
    <row r="26" spans="1:17" ht="15" customHeight="1">
      <c r="A26" s="39"/>
      <c r="B26" s="2" t="s">
        <v>159</v>
      </c>
      <c r="C26" s="45" t="s">
        <v>312</v>
      </c>
      <c r="D26" s="4"/>
      <c r="E26" s="1"/>
      <c r="F26" s="1"/>
      <c r="G26" s="1"/>
      <c r="H26" s="1"/>
      <c r="I26" s="1"/>
      <c r="J26" s="11"/>
      <c r="K26" s="11"/>
      <c r="L26" s="11"/>
      <c r="M26" s="10"/>
      <c r="N26" s="1">
        <v>205</v>
      </c>
      <c r="O26" s="1">
        <v>255</v>
      </c>
      <c r="P26" s="1">
        <v>226</v>
      </c>
      <c r="Q26" s="16">
        <f t="shared" si="0"/>
        <v>686</v>
      </c>
    </row>
    <row r="27" spans="1:17" ht="15" customHeight="1">
      <c r="A27" s="40"/>
      <c r="B27" s="3" t="s">
        <v>160</v>
      </c>
      <c r="C27" s="46" t="s">
        <v>312</v>
      </c>
      <c r="D27" s="9"/>
      <c r="E27" s="7"/>
      <c r="F27" s="7"/>
      <c r="G27" s="7"/>
      <c r="H27" s="7"/>
      <c r="I27" s="7"/>
      <c r="J27" s="23"/>
      <c r="K27" s="23"/>
      <c r="L27" s="23"/>
      <c r="M27" s="12"/>
      <c r="N27" s="7">
        <v>321</v>
      </c>
      <c r="O27" s="7">
        <v>147</v>
      </c>
      <c r="P27" s="7">
        <v>147</v>
      </c>
      <c r="Q27" s="16">
        <f t="shared" si="0"/>
        <v>615</v>
      </c>
    </row>
    <row r="28" spans="1:17">
      <c r="A28" s="17" t="s">
        <v>287</v>
      </c>
      <c r="B28" s="16"/>
      <c r="C28" s="16"/>
      <c r="D28" s="16">
        <f>SUM(D3:D27)</f>
        <v>932</v>
      </c>
      <c r="E28" s="16">
        <f t="shared" ref="E28:Q28" si="1">SUM(E3:E27)</f>
        <v>1212</v>
      </c>
      <c r="F28" s="16">
        <f t="shared" si="1"/>
        <v>1435</v>
      </c>
      <c r="G28" s="16">
        <f t="shared" si="1"/>
        <v>1314</v>
      </c>
      <c r="H28" s="16">
        <f t="shared" si="1"/>
        <v>1499</v>
      </c>
      <c r="I28" s="16">
        <f t="shared" si="1"/>
        <v>1267</v>
      </c>
      <c r="J28" s="16">
        <f t="shared" si="1"/>
        <v>1266</v>
      </c>
      <c r="K28" s="16">
        <f t="shared" si="1"/>
        <v>1212</v>
      </c>
      <c r="L28" s="16">
        <f t="shared" si="1"/>
        <v>1223</v>
      </c>
      <c r="M28" s="16">
        <f t="shared" si="1"/>
        <v>910</v>
      </c>
      <c r="N28" s="16">
        <f t="shared" si="1"/>
        <v>727</v>
      </c>
      <c r="O28" s="16">
        <f t="shared" si="1"/>
        <v>598</v>
      </c>
      <c r="P28" s="16">
        <f t="shared" si="1"/>
        <v>541</v>
      </c>
      <c r="Q28" s="16">
        <f t="shared" si="1"/>
        <v>14136</v>
      </c>
    </row>
  </sheetData>
  <mergeCells count="7">
    <mergeCell ref="N1:P1"/>
    <mergeCell ref="Q1:Q2"/>
    <mergeCell ref="A1:A2"/>
    <mergeCell ref="A3:A27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rightToLeft="1" workbookViewId="0">
      <pane ySplit="2" topLeftCell="A3" activePane="bottomLeft" state="frozen"/>
      <selection pane="bottomLeft" activeCell="C21" sqref="C21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6.425781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29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29"/>
    </row>
    <row r="3" spans="1:17">
      <c r="A3" s="39" t="s">
        <v>65</v>
      </c>
      <c r="B3" s="2" t="s">
        <v>161</v>
      </c>
      <c r="C3" s="45" t="s">
        <v>310</v>
      </c>
      <c r="D3" s="4">
        <v>30</v>
      </c>
      <c r="E3" s="1">
        <v>121</v>
      </c>
      <c r="F3" s="1">
        <v>160</v>
      </c>
      <c r="G3" s="1">
        <v>158</v>
      </c>
      <c r="H3" s="1">
        <v>152</v>
      </c>
      <c r="I3" s="1">
        <v>138</v>
      </c>
      <c r="J3" s="10"/>
      <c r="K3" s="10"/>
      <c r="L3" s="10"/>
      <c r="M3" s="10"/>
      <c r="N3" s="10"/>
      <c r="O3" s="10"/>
      <c r="P3" s="10"/>
      <c r="Q3" s="16">
        <f>SUM(D3:P3)</f>
        <v>759</v>
      </c>
    </row>
    <row r="4" spans="1:17">
      <c r="A4" s="39"/>
      <c r="B4" s="2" t="s">
        <v>162</v>
      </c>
      <c r="C4" s="45" t="s">
        <v>310</v>
      </c>
      <c r="D4" s="4">
        <v>33</v>
      </c>
      <c r="E4" s="1">
        <v>153</v>
      </c>
      <c r="F4" s="1">
        <v>206</v>
      </c>
      <c r="G4" s="1">
        <v>228</v>
      </c>
      <c r="H4" s="1">
        <v>207</v>
      </c>
      <c r="I4" s="1">
        <v>176</v>
      </c>
      <c r="J4" s="10"/>
      <c r="K4" s="10"/>
      <c r="L4" s="10"/>
      <c r="M4" s="10"/>
      <c r="N4" s="10"/>
      <c r="O4" s="10"/>
      <c r="P4" s="10"/>
      <c r="Q4" s="16">
        <f t="shared" ref="Q4:Q20" si="0">SUM(D4:P4)</f>
        <v>1003</v>
      </c>
    </row>
    <row r="5" spans="1:17">
      <c r="A5" s="39"/>
      <c r="B5" s="2" t="s">
        <v>46</v>
      </c>
      <c r="C5" s="45" t="s">
        <v>310</v>
      </c>
      <c r="D5" s="4">
        <v>26</v>
      </c>
      <c r="E5" s="1">
        <v>134</v>
      </c>
      <c r="F5" s="1">
        <v>40</v>
      </c>
      <c r="G5" s="1">
        <v>236</v>
      </c>
      <c r="H5" s="1">
        <v>36</v>
      </c>
      <c r="I5" s="1">
        <v>36</v>
      </c>
      <c r="J5" s="10"/>
      <c r="K5" s="10"/>
      <c r="L5" s="10"/>
      <c r="M5" s="10"/>
      <c r="N5" s="10"/>
      <c r="O5" s="10"/>
      <c r="P5" s="10"/>
      <c r="Q5" s="16">
        <f t="shared" si="0"/>
        <v>508</v>
      </c>
    </row>
    <row r="6" spans="1:17">
      <c r="A6" s="39"/>
      <c r="B6" s="2" t="s">
        <v>163</v>
      </c>
      <c r="C6" s="45" t="s">
        <v>310</v>
      </c>
      <c r="D6" s="4">
        <v>25</v>
      </c>
      <c r="E6" s="1">
        <v>112</v>
      </c>
      <c r="F6" s="1">
        <v>112</v>
      </c>
      <c r="G6" s="1">
        <v>102</v>
      </c>
      <c r="H6" s="1">
        <v>110</v>
      </c>
      <c r="I6" s="1">
        <v>99</v>
      </c>
      <c r="J6" s="10"/>
      <c r="K6" s="10"/>
      <c r="L6" s="10"/>
      <c r="M6" s="10"/>
      <c r="N6" s="10"/>
      <c r="O6" s="10"/>
      <c r="P6" s="10"/>
      <c r="Q6" s="16">
        <f t="shared" si="0"/>
        <v>560</v>
      </c>
    </row>
    <row r="7" spans="1:17">
      <c r="A7" s="39"/>
      <c r="B7" s="2" t="s">
        <v>180</v>
      </c>
      <c r="C7" s="45" t="s">
        <v>310</v>
      </c>
      <c r="D7" s="4">
        <v>24</v>
      </c>
      <c r="E7" s="1">
        <v>63</v>
      </c>
      <c r="F7" s="1">
        <v>90</v>
      </c>
      <c r="G7" s="1">
        <v>67</v>
      </c>
      <c r="H7" s="1">
        <v>75</v>
      </c>
      <c r="I7" s="1">
        <v>68</v>
      </c>
      <c r="J7" s="10"/>
      <c r="K7" s="10"/>
      <c r="L7" s="10"/>
      <c r="M7" s="10"/>
      <c r="N7" s="10"/>
      <c r="O7" s="10"/>
      <c r="P7" s="10"/>
      <c r="Q7" s="16">
        <f t="shared" si="0"/>
        <v>387</v>
      </c>
    </row>
    <row r="8" spans="1:17">
      <c r="A8" s="39"/>
      <c r="B8" s="2" t="s">
        <v>165</v>
      </c>
      <c r="C8" s="45" t="s">
        <v>310</v>
      </c>
      <c r="D8" s="4">
        <v>27</v>
      </c>
      <c r="E8" s="1">
        <v>76</v>
      </c>
      <c r="F8" s="1">
        <v>68</v>
      </c>
      <c r="G8" s="1">
        <v>58</v>
      </c>
      <c r="H8" s="1">
        <v>79</v>
      </c>
      <c r="I8" s="1">
        <v>84</v>
      </c>
      <c r="J8" s="10"/>
      <c r="K8" s="10"/>
      <c r="L8" s="10"/>
      <c r="M8" s="10"/>
      <c r="N8" s="10"/>
      <c r="O8" s="10"/>
      <c r="P8" s="10"/>
      <c r="Q8" s="16">
        <f t="shared" si="0"/>
        <v>392</v>
      </c>
    </row>
    <row r="9" spans="1:17">
      <c r="A9" s="39"/>
      <c r="B9" s="2" t="s">
        <v>166</v>
      </c>
      <c r="C9" s="45" t="s">
        <v>310</v>
      </c>
      <c r="D9" s="4">
        <v>27</v>
      </c>
      <c r="E9" s="1">
        <v>67</v>
      </c>
      <c r="F9" s="1">
        <v>121</v>
      </c>
      <c r="G9" s="1">
        <v>74</v>
      </c>
      <c r="H9" s="1">
        <v>80</v>
      </c>
      <c r="I9" s="1">
        <v>76</v>
      </c>
      <c r="J9" s="10"/>
      <c r="K9" s="10"/>
      <c r="L9" s="10"/>
      <c r="M9" s="10"/>
      <c r="N9" s="10"/>
      <c r="O9" s="10"/>
      <c r="P9" s="10"/>
      <c r="Q9" s="16">
        <f t="shared" si="0"/>
        <v>445</v>
      </c>
    </row>
    <row r="10" spans="1:17">
      <c r="A10" s="39"/>
      <c r="B10" s="2" t="s">
        <v>47</v>
      </c>
      <c r="C10" s="45" t="s">
        <v>310</v>
      </c>
      <c r="D10" s="4">
        <v>26</v>
      </c>
      <c r="E10" s="1">
        <v>67</v>
      </c>
      <c r="F10" s="1">
        <v>59</v>
      </c>
      <c r="G10" s="1">
        <v>54</v>
      </c>
      <c r="H10" s="1">
        <v>48</v>
      </c>
      <c r="I10" s="1">
        <v>51</v>
      </c>
      <c r="J10" s="10"/>
      <c r="K10" s="10"/>
      <c r="L10" s="10"/>
      <c r="M10" s="10"/>
      <c r="N10" s="10"/>
      <c r="O10" s="10"/>
      <c r="P10" s="10"/>
      <c r="Q10" s="16">
        <f t="shared" si="0"/>
        <v>305</v>
      </c>
    </row>
    <row r="11" spans="1:17">
      <c r="A11" s="39"/>
      <c r="B11" s="2" t="s">
        <v>167</v>
      </c>
      <c r="C11" s="45" t="s">
        <v>310</v>
      </c>
      <c r="D11" s="4">
        <v>25</v>
      </c>
      <c r="E11" s="1">
        <v>172</v>
      </c>
      <c r="F11" s="1">
        <v>196</v>
      </c>
      <c r="G11" s="1">
        <v>189</v>
      </c>
      <c r="H11" s="1">
        <v>201</v>
      </c>
      <c r="I11" s="1">
        <v>195</v>
      </c>
      <c r="J11" s="10"/>
      <c r="K11" s="10"/>
      <c r="L11" s="10"/>
      <c r="M11" s="10"/>
      <c r="N11" s="10"/>
      <c r="O11" s="10"/>
      <c r="P11" s="10"/>
      <c r="Q11" s="16">
        <f t="shared" si="0"/>
        <v>978</v>
      </c>
    </row>
    <row r="12" spans="1:17">
      <c r="A12" s="39"/>
      <c r="B12" s="2" t="s">
        <v>153</v>
      </c>
      <c r="C12" s="45" t="s">
        <v>310</v>
      </c>
      <c r="D12" s="4">
        <v>24</v>
      </c>
      <c r="E12" s="1">
        <v>60</v>
      </c>
      <c r="F12" s="1">
        <v>94</v>
      </c>
      <c r="G12" s="1">
        <v>64</v>
      </c>
      <c r="H12" s="1">
        <v>83</v>
      </c>
      <c r="I12" s="1">
        <v>85</v>
      </c>
      <c r="J12" s="10"/>
      <c r="K12" s="10"/>
      <c r="L12" s="10"/>
      <c r="M12" s="10"/>
      <c r="N12" s="10"/>
      <c r="O12" s="10"/>
      <c r="P12" s="10"/>
      <c r="Q12" s="16">
        <f t="shared" si="0"/>
        <v>410</v>
      </c>
    </row>
    <row r="13" spans="1:17">
      <c r="A13" s="39"/>
      <c r="B13" s="2" t="s">
        <v>168</v>
      </c>
      <c r="C13" s="45" t="s">
        <v>310</v>
      </c>
      <c r="D13" s="4">
        <v>20</v>
      </c>
      <c r="E13" s="1">
        <v>67</v>
      </c>
      <c r="F13" s="1">
        <v>79</v>
      </c>
      <c r="G13" s="1">
        <v>77</v>
      </c>
      <c r="H13" s="1">
        <v>90</v>
      </c>
      <c r="I13" s="1">
        <v>83</v>
      </c>
      <c r="J13" s="10"/>
      <c r="K13" s="10"/>
      <c r="L13" s="10"/>
      <c r="M13" s="10"/>
      <c r="N13" s="10"/>
      <c r="O13" s="10"/>
      <c r="P13" s="10"/>
      <c r="Q13" s="16">
        <f t="shared" si="0"/>
        <v>416</v>
      </c>
    </row>
    <row r="14" spans="1:17">
      <c r="A14" s="39"/>
      <c r="B14" s="2" t="s">
        <v>169</v>
      </c>
      <c r="C14" s="45" t="s">
        <v>310</v>
      </c>
      <c r="D14" s="4">
        <v>30</v>
      </c>
      <c r="E14" s="1">
        <v>36</v>
      </c>
      <c r="F14" s="1">
        <v>46</v>
      </c>
      <c r="G14" s="1">
        <v>51</v>
      </c>
      <c r="H14" s="1">
        <v>46</v>
      </c>
      <c r="I14" s="1">
        <v>56</v>
      </c>
      <c r="J14" s="10"/>
      <c r="K14" s="10"/>
      <c r="L14" s="10"/>
      <c r="M14" s="10"/>
      <c r="N14" s="10"/>
      <c r="O14" s="10"/>
      <c r="P14" s="10"/>
      <c r="Q14" s="16">
        <f t="shared" si="0"/>
        <v>265</v>
      </c>
    </row>
    <row r="15" spans="1:17">
      <c r="A15" s="39"/>
      <c r="B15" s="2" t="s">
        <v>107</v>
      </c>
      <c r="C15" s="45" t="s">
        <v>311</v>
      </c>
      <c r="D15" s="4"/>
      <c r="E15" s="1"/>
      <c r="F15" s="1"/>
      <c r="G15" s="1"/>
      <c r="H15" s="1"/>
      <c r="I15" s="1"/>
      <c r="J15" s="1">
        <v>150</v>
      </c>
      <c r="K15" s="1">
        <v>178</v>
      </c>
      <c r="L15" s="1">
        <v>174</v>
      </c>
      <c r="M15" s="1">
        <v>171</v>
      </c>
      <c r="N15" s="10"/>
      <c r="O15" s="10"/>
      <c r="P15" s="10"/>
      <c r="Q15" s="16">
        <f t="shared" si="0"/>
        <v>673</v>
      </c>
    </row>
    <row r="16" spans="1:17">
      <c r="A16" s="39"/>
      <c r="B16" s="2" t="s">
        <v>48</v>
      </c>
      <c r="C16" s="45" t="s">
        <v>311</v>
      </c>
      <c r="D16" s="4"/>
      <c r="E16" s="1"/>
      <c r="F16" s="1"/>
      <c r="G16" s="1"/>
      <c r="H16" s="1"/>
      <c r="I16" s="1"/>
      <c r="J16" s="1">
        <v>107</v>
      </c>
      <c r="K16" s="1">
        <v>195</v>
      </c>
      <c r="L16" s="1">
        <v>151</v>
      </c>
      <c r="M16" s="1">
        <v>174</v>
      </c>
      <c r="N16" s="10"/>
      <c r="O16" s="10"/>
      <c r="P16" s="10"/>
      <c r="Q16" s="16">
        <f t="shared" si="0"/>
        <v>627</v>
      </c>
    </row>
    <row r="17" spans="1:17">
      <c r="A17" s="39"/>
      <c r="B17" s="2" t="s">
        <v>49</v>
      </c>
      <c r="C17" s="45" t="s">
        <v>311</v>
      </c>
      <c r="D17" s="4"/>
      <c r="E17" s="1"/>
      <c r="F17" s="1"/>
      <c r="G17" s="1"/>
      <c r="H17" s="1"/>
      <c r="I17" s="1"/>
      <c r="J17" s="1">
        <v>156</v>
      </c>
      <c r="K17" s="1">
        <v>194</v>
      </c>
      <c r="L17" s="1">
        <v>171</v>
      </c>
      <c r="M17" s="1">
        <v>180</v>
      </c>
      <c r="N17" s="10"/>
      <c r="O17" s="10"/>
      <c r="P17" s="10"/>
      <c r="Q17" s="16">
        <f t="shared" si="0"/>
        <v>701</v>
      </c>
    </row>
    <row r="18" spans="1:17">
      <c r="A18" s="39"/>
      <c r="B18" s="2" t="s">
        <v>170</v>
      </c>
      <c r="C18" s="45" t="s">
        <v>311</v>
      </c>
      <c r="D18" s="4"/>
      <c r="E18" s="1"/>
      <c r="F18" s="1"/>
      <c r="G18" s="1"/>
      <c r="H18" s="1"/>
      <c r="I18" s="1"/>
      <c r="J18" s="1">
        <v>460</v>
      </c>
      <c r="K18" s="1">
        <v>396</v>
      </c>
      <c r="L18" s="1">
        <v>354</v>
      </c>
      <c r="M18" s="1">
        <v>302</v>
      </c>
      <c r="N18" s="10"/>
      <c r="O18" s="10"/>
      <c r="P18" s="10"/>
      <c r="Q18" s="16">
        <f t="shared" si="0"/>
        <v>1512</v>
      </c>
    </row>
    <row r="19" spans="1:17">
      <c r="A19" s="39"/>
      <c r="B19" s="2" t="s">
        <v>171</v>
      </c>
      <c r="C19" s="45" t="s">
        <v>312</v>
      </c>
      <c r="D19" s="4"/>
      <c r="E19" s="1"/>
      <c r="F19" s="1"/>
      <c r="G19" s="1"/>
      <c r="H19" s="1"/>
      <c r="I19" s="1"/>
      <c r="J19" s="10"/>
      <c r="K19" s="10"/>
      <c r="L19" s="10"/>
      <c r="M19" s="10"/>
      <c r="N19" s="1">
        <v>317</v>
      </c>
      <c r="O19" s="1">
        <v>248</v>
      </c>
      <c r="P19" s="1">
        <v>312</v>
      </c>
      <c r="Q19" s="16">
        <f t="shared" si="0"/>
        <v>877</v>
      </c>
    </row>
    <row r="20" spans="1:17">
      <c r="A20" s="40"/>
      <c r="B20" s="3" t="s">
        <v>172</v>
      </c>
      <c r="C20" s="46" t="s">
        <v>312</v>
      </c>
      <c r="D20" s="9"/>
      <c r="E20" s="7"/>
      <c r="F20" s="7"/>
      <c r="G20" s="7"/>
      <c r="H20" s="7"/>
      <c r="I20" s="7"/>
      <c r="J20" s="12"/>
      <c r="K20" s="12"/>
      <c r="L20" s="12"/>
      <c r="M20" s="12"/>
      <c r="N20" s="7">
        <v>302</v>
      </c>
      <c r="O20" s="7">
        <v>197</v>
      </c>
      <c r="P20" s="7">
        <v>206</v>
      </c>
      <c r="Q20" s="16">
        <f t="shared" si="0"/>
        <v>705</v>
      </c>
    </row>
    <row r="21" spans="1:17">
      <c r="A21" s="17" t="s">
        <v>287</v>
      </c>
      <c r="B21" s="16"/>
      <c r="C21" s="16"/>
      <c r="D21" s="16">
        <f>SUM(D3:D20)</f>
        <v>317</v>
      </c>
      <c r="E21" s="16">
        <f t="shared" ref="E21:Q21" si="1">SUM(E3:E20)</f>
        <v>1128</v>
      </c>
      <c r="F21" s="16">
        <f t="shared" si="1"/>
        <v>1271</v>
      </c>
      <c r="G21" s="16">
        <f t="shared" si="1"/>
        <v>1358</v>
      </c>
      <c r="H21" s="16">
        <f t="shared" si="1"/>
        <v>1207</v>
      </c>
      <c r="I21" s="16">
        <f t="shared" si="1"/>
        <v>1147</v>
      </c>
      <c r="J21" s="16">
        <f t="shared" si="1"/>
        <v>873</v>
      </c>
      <c r="K21" s="16">
        <f t="shared" si="1"/>
        <v>963</v>
      </c>
      <c r="L21" s="16">
        <f t="shared" si="1"/>
        <v>850</v>
      </c>
      <c r="M21" s="16">
        <f t="shared" si="1"/>
        <v>827</v>
      </c>
      <c r="N21" s="16">
        <f t="shared" si="1"/>
        <v>619</v>
      </c>
      <c r="O21" s="16">
        <f t="shared" si="1"/>
        <v>445</v>
      </c>
      <c r="P21" s="16">
        <f t="shared" si="1"/>
        <v>518</v>
      </c>
      <c r="Q21" s="16">
        <f t="shared" si="1"/>
        <v>11523</v>
      </c>
    </row>
  </sheetData>
  <mergeCells count="7">
    <mergeCell ref="N1:P1"/>
    <mergeCell ref="Q1:Q2"/>
    <mergeCell ref="A1:A2"/>
    <mergeCell ref="A3:A20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0"/>
  <sheetViews>
    <sheetView rightToLeft="1" workbookViewId="0">
      <pane ySplit="2" topLeftCell="A3" activePane="bottomLeft" state="frozen"/>
      <selection pane="bottomLeft" activeCell="C20" sqref="C20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6.710937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29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29"/>
    </row>
    <row r="3" spans="1:17" ht="15" customHeight="1">
      <c r="A3" s="39" t="s">
        <v>286</v>
      </c>
      <c r="B3" s="2" t="s">
        <v>271</v>
      </c>
      <c r="C3" s="45" t="s">
        <v>310</v>
      </c>
      <c r="D3" s="4">
        <v>66</v>
      </c>
      <c r="E3" s="1">
        <v>112</v>
      </c>
      <c r="F3" s="1">
        <v>148</v>
      </c>
      <c r="G3" s="1">
        <v>134</v>
      </c>
      <c r="H3" s="1">
        <v>162</v>
      </c>
      <c r="I3" s="1">
        <v>150</v>
      </c>
      <c r="J3" s="10"/>
      <c r="K3" s="10"/>
      <c r="L3" s="10"/>
      <c r="M3" s="10"/>
      <c r="N3" s="10"/>
      <c r="O3" s="10"/>
      <c r="P3" s="10"/>
      <c r="Q3" s="16">
        <f>SUM(D3:P3)</f>
        <v>772</v>
      </c>
    </row>
    <row r="4" spans="1:17" ht="15" customHeight="1">
      <c r="A4" s="39"/>
      <c r="B4" s="2" t="s">
        <v>280</v>
      </c>
      <c r="C4" s="45" t="s">
        <v>310</v>
      </c>
      <c r="D4" s="4">
        <v>60</v>
      </c>
      <c r="E4" s="1">
        <v>113</v>
      </c>
      <c r="F4" s="1">
        <v>185</v>
      </c>
      <c r="G4" s="1">
        <v>188</v>
      </c>
      <c r="H4" s="1">
        <v>215</v>
      </c>
      <c r="I4" s="1">
        <v>155</v>
      </c>
      <c r="J4" s="10"/>
      <c r="K4" s="10"/>
      <c r="L4" s="10"/>
      <c r="M4" s="10"/>
      <c r="N4" s="10"/>
      <c r="O4" s="10"/>
      <c r="P4" s="10"/>
      <c r="Q4" s="16">
        <f t="shared" ref="Q4:Q19" si="0">SUM(D4:P4)</f>
        <v>916</v>
      </c>
    </row>
    <row r="5" spans="1:17" ht="15" customHeight="1">
      <c r="A5" s="39"/>
      <c r="B5" s="2" t="s">
        <v>273</v>
      </c>
      <c r="C5" s="45" t="s">
        <v>310</v>
      </c>
      <c r="D5" s="4">
        <v>70</v>
      </c>
      <c r="E5" s="1">
        <v>75</v>
      </c>
      <c r="F5" s="1">
        <v>140</v>
      </c>
      <c r="G5" s="1">
        <v>87</v>
      </c>
      <c r="H5" s="1">
        <v>119</v>
      </c>
      <c r="I5" s="1">
        <v>106</v>
      </c>
      <c r="J5" s="10"/>
      <c r="K5" s="10"/>
      <c r="L5" s="10"/>
      <c r="M5" s="10"/>
      <c r="N5" s="10"/>
      <c r="O5" s="10"/>
      <c r="P5" s="10"/>
      <c r="Q5" s="16">
        <f t="shared" si="0"/>
        <v>597</v>
      </c>
    </row>
    <row r="6" spans="1:17" ht="15" customHeight="1">
      <c r="A6" s="39"/>
      <c r="B6" s="2" t="s">
        <v>274</v>
      </c>
      <c r="C6" s="45" t="s">
        <v>310</v>
      </c>
      <c r="D6" s="4">
        <v>65</v>
      </c>
      <c r="E6" s="1">
        <v>72</v>
      </c>
      <c r="F6" s="1">
        <v>96</v>
      </c>
      <c r="G6" s="1">
        <v>103</v>
      </c>
      <c r="H6" s="1">
        <v>81</v>
      </c>
      <c r="I6" s="1">
        <v>60</v>
      </c>
      <c r="J6" s="10"/>
      <c r="K6" s="10"/>
      <c r="L6" s="10"/>
      <c r="M6" s="10"/>
      <c r="N6" s="10"/>
      <c r="O6" s="10"/>
      <c r="P6" s="10"/>
      <c r="Q6" s="16">
        <f t="shared" si="0"/>
        <v>477</v>
      </c>
    </row>
    <row r="7" spans="1:17" ht="15" customHeight="1">
      <c r="A7" s="39"/>
      <c r="B7" s="2" t="s">
        <v>275</v>
      </c>
      <c r="C7" s="45" t="s">
        <v>310</v>
      </c>
      <c r="D7" s="4">
        <v>66</v>
      </c>
      <c r="E7" s="1">
        <v>93</v>
      </c>
      <c r="F7" s="1">
        <v>60</v>
      </c>
      <c r="G7" s="1">
        <v>45</v>
      </c>
      <c r="H7" s="1">
        <v>46</v>
      </c>
      <c r="I7" s="1">
        <v>48</v>
      </c>
      <c r="J7" s="10"/>
      <c r="K7" s="10"/>
      <c r="L7" s="10"/>
      <c r="M7" s="10"/>
      <c r="N7" s="10"/>
      <c r="O7" s="10"/>
      <c r="P7" s="10"/>
      <c r="Q7" s="16">
        <f t="shared" si="0"/>
        <v>358</v>
      </c>
    </row>
    <row r="8" spans="1:17" ht="15" customHeight="1">
      <c r="A8" s="39"/>
      <c r="B8" s="2" t="s">
        <v>276</v>
      </c>
      <c r="C8" s="45" t="s">
        <v>310</v>
      </c>
      <c r="D8" s="4">
        <v>68</v>
      </c>
      <c r="E8" s="1">
        <v>148</v>
      </c>
      <c r="F8" s="1">
        <v>196</v>
      </c>
      <c r="G8" s="1">
        <v>154</v>
      </c>
      <c r="H8" s="1">
        <v>166</v>
      </c>
      <c r="I8" s="1">
        <v>144</v>
      </c>
      <c r="J8" s="10"/>
      <c r="K8" s="10"/>
      <c r="L8" s="10"/>
      <c r="M8" s="10"/>
      <c r="N8" s="10"/>
      <c r="O8" s="10"/>
      <c r="P8" s="10"/>
      <c r="Q8" s="16">
        <f t="shared" si="0"/>
        <v>876</v>
      </c>
    </row>
    <row r="9" spans="1:17" ht="15" customHeight="1">
      <c r="A9" s="39"/>
      <c r="B9" s="2" t="s">
        <v>277</v>
      </c>
      <c r="C9" s="45" t="s">
        <v>310</v>
      </c>
      <c r="D9" s="4">
        <v>64</v>
      </c>
      <c r="E9" s="1">
        <v>80</v>
      </c>
      <c r="F9" s="1">
        <v>65</v>
      </c>
      <c r="G9" s="1">
        <v>62</v>
      </c>
      <c r="H9" s="1">
        <v>64</v>
      </c>
      <c r="I9" s="1">
        <v>51</v>
      </c>
      <c r="J9" s="10"/>
      <c r="K9" s="10"/>
      <c r="L9" s="10"/>
      <c r="M9" s="10"/>
      <c r="N9" s="10"/>
      <c r="O9" s="10"/>
      <c r="P9" s="10"/>
      <c r="Q9" s="16">
        <f t="shared" si="0"/>
        <v>386</v>
      </c>
    </row>
    <row r="10" spans="1:17" ht="15" customHeight="1">
      <c r="A10" s="39"/>
      <c r="B10" s="2" t="s">
        <v>278</v>
      </c>
      <c r="C10" s="45" t="s">
        <v>310</v>
      </c>
      <c r="D10" s="4">
        <v>70</v>
      </c>
      <c r="E10" s="1">
        <v>111</v>
      </c>
      <c r="F10" s="1">
        <v>134</v>
      </c>
      <c r="G10" s="1">
        <v>106</v>
      </c>
      <c r="H10" s="1">
        <v>158</v>
      </c>
      <c r="I10" s="1">
        <v>164</v>
      </c>
      <c r="J10" s="10"/>
      <c r="K10" s="10"/>
      <c r="L10" s="10"/>
      <c r="M10" s="10"/>
      <c r="N10" s="10"/>
      <c r="O10" s="10"/>
      <c r="P10" s="10"/>
      <c r="Q10" s="16">
        <f t="shared" si="0"/>
        <v>743</v>
      </c>
    </row>
    <row r="11" spans="1:17" ht="15" customHeight="1">
      <c r="A11" s="39"/>
      <c r="B11" s="2" t="s">
        <v>272</v>
      </c>
      <c r="C11" s="45" t="s">
        <v>310</v>
      </c>
      <c r="D11" s="4">
        <v>72</v>
      </c>
      <c r="E11" s="1">
        <v>110</v>
      </c>
      <c r="F11" s="1">
        <v>125</v>
      </c>
      <c r="G11" s="1">
        <v>88</v>
      </c>
      <c r="H11" s="1">
        <v>116</v>
      </c>
      <c r="I11" s="1">
        <v>83</v>
      </c>
      <c r="J11" s="10"/>
      <c r="K11" s="10"/>
      <c r="L11" s="10"/>
      <c r="M11" s="10"/>
      <c r="N11" s="10"/>
      <c r="O11" s="10"/>
      <c r="P11" s="10"/>
      <c r="Q11" s="16">
        <f t="shared" si="0"/>
        <v>594</v>
      </c>
    </row>
    <row r="12" spans="1:17" ht="15" customHeight="1">
      <c r="A12" s="39"/>
      <c r="B12" s="2" t="s">
        <v>279</v>
      </c>
      <c r="C12" s="45" t="s">
        <v>310</v>
      </c>
      <c r="D12" s="4">
        <v>55</v>
      </c>
      <c r="E12" s="1">
        <v>115</v>
      </c>
      <c r="F12" s="1">
        <v>77</v>
      </c>
      <c r="G12" s="1">
        <v>47</v>
      </c>
      <c r="H12" s="1">
        <v>46</v>
      </c>
      <c r="I12" s="1">
        <v>53</v>
      </c>
      <c r="J12" s="10"/>
      <c r="K12" s="10"/>
      <c r="L12" s="10"/>
      <c r="M12" s="10"/>
      <c r="N12" s="10"/>
      <c r="O12" s="10"/>
      <c r="P12" s="10"/>
      <c r="Q12" s="16">
        <f t="shared" si="0"/>
        <v>393</v>
      </c>
    </row>
    <row r="13" spans="1:17" ht="15" customHeight="1">
      <c r="A13" s="39"/>
      <c r="B13" s="2" t="s">
        <v>281</v>
      </c>
      <c r="C13" s="45" t="s">
        <v>311</v>
      </c>
      <c r="D13" s="4"/>
      <c r="E13" s="1"/>
      <c r="F13" s="1"/>
      <c r="G13" s="1"/>
      <c r="H13" s="1"/>
      <c r="I13" s="1"/>
      <c r="J13" s="1">
        <v>416</v>
      </c>
      <c r="K13" s="1">
        <v>345</v>
      </c>
      <c r="L13" s="1">
        <v>324</v>
      </c>
      <c r="M13" s="1">
        <v>301</v>
      </c>
      <c r="N13" s="10"/>
      <c r="O13" s="10"/>
      <c r="P13" s="10"/>
      <c r="Q13" s="16">
        <f t="shared" si="0"/>
        <v>1386</v>
      </c>
    </row>
    <row r="14" spans="1:17" ht="15" customHeight="1">
      <c r="A14" s="39"/>
      <c r="B14" s="2" t="s">
        <v>174</v>
      </c>
      <c r="C14" s="45" t="s">
        <v>311</v>
      </c>
      <c r="D14" s="4"/>
      <c r="E14" s="1"/>
      <c r="F14" s="1"/>
      <c r="G14" s="1"/>
      <c r="H14" s="1"/>
      <c r="I14" s="1"/>
      <c r="J14" s="1">
        <v>545</v>
      </c>
      <c r="K14" s="1">
        <v>347</v>
      </c>
      <c r="L14" s="1">
        <v>293</v>
      </c>
      <c r="M14" s="1">
        <v>206</v>
      </c>
      <c r="N14" s="10"/>
      <c r="O14" s="10"/>
      <c r="P14" s="10"/>
      <c r="Q14" s="16">
        <f t="shared" si="0"/>
        <v>1391</v>
      </c>
    </row>
    <row r="15" spans="1:17" ht="15" customHeight="1">
      <c r="A15" s="39"/>
      <c r="B15" s="2" t="s">
        <v>173</v>
      </c>
      <c r="C15" s="45" t="s">
        <v>311</v>
      </c>
      <c r="D15" s="4"/>
      <c r="E15" s="1"/>
      <c r="F15" s="1"/>
      <c r="G15" s="1"/>
      <c r="H15" s="1"/>
      <c r="I15" s="1"/>
      <c r="J15" s="1">
        <v>254</v>
      </c>
      <c r="K15" s="1">
        <v>231</v>
      </c>
      <c r="L15" s="1">
        <v>180</v>
      </c>
      <c r="M15" s="1">
        <v>169</v>
      </c>
      <c r="N15" s="10"/>
      <c r="O15" s="10"/>
      <c r="P15" s="10"/>
      <c r="Q15" s="16">
        <f t="shared" si="0"/>
        <v>834</v>
      </c>
    </row>
    <row r="16" spans="1:17" ht="15" customHeight="1">
      <c r="A16" s="39"/>
      <c r="B16" s="2" t="s">
        <v>282</v>
      </c>
      <c r="C16" s="45" t="s">
        <v>311</v>
      </c>
      <c r="D16" s="4"/>
      <c r="E16" s="1"/>
      <c r="F16" s="1"/>
      <c r="G16" s="1"/>
      <c r="H16" s="1"/>
      <c r="I16" s="1"/>
      <c r="J16" s="1">
        <v>82</v>
      </c>
      <c r="K16" s="1">
        <v>79</v>
      </c>
      <c r="L16" s="1">
        <v>51</v>
      </c>
      <c r="M16" s="1">
        <v>43</v>
      </c>
      <c r="N16" s="10"/>
      <c r="O16" s="10"/>
      <c r="P16" s="10"/>
      <c r="Q16" s="16">
        <f t="shared" si="0"/>
        <v>255</v>
      </c>
    </row>
    <row r="17" spans="1:17" ht="15" customHeight="1">
      <c r="A17" s="39"/>
      <c r="B17" s="2" t="s">
        <v>283</v>
      </c>
      <c r="C17" s="45" t="s">
        <v>312</v>
      </c>
      <c r="D17" s="4"/>
      <c r="E17" s="1"/>
      <c r="F17" s="1"/>
      <c r="G17" s="1"/>
      <c r="H17" s="1"/>
      <c r="I17" s="1"/>
      <c r="J17" s="10"/>
      <c r="K17" s="10"/>
      <c r="L17" s="10"/>
      <c r="M17" s="10"/>
      <c r="N17" s="1">
        <v>133</v>
      </c>
      <c r="O17" s="1">
        <v>152</v>
      </c>
      <c r="P17" s="1">
        <v>122</v>
      </c>
      <c r="Q17" s="16">
        <f t="shared" si="0"/>
        <v>407</v>
      </c>
    </row>
    <row r="18" spans="1:17" ht="15" customHeight="1">
      <c r="A18" s="39"/>
      <c r="B18" s="2" t="s">
        <v>284</v>
      </c>
      <c r="C18" s="45" t="s">
        <v>312</v>
      </c>
      <c r="D18" s="4"/>
      <c r="E18" s="1"/>
      <c r="F18" s="1"/>
      <c r="G18" s="1"/>
      <c r="H18" s="1"/>
      <c r="I18" s="1"/>
      <c r="J18" s="10"/>
      <c r="K18" s="10"/>
      <c r="L18" s="10"/>
      <c r="M18" s="10"/>
      <c r="N18" s="1">
        <v>85</v>
      </c>
      <c r="O18" s="1">
        <v>68</v>
      </c>
      <c r="P18" s="1">
        <v>149</v>
      </c>
      <c r="Q18" s="16">
        <f t="shared" si="0"/>
        <v>302</v>
      </c>
    </row>
    <row r="19" spans="1:17" ht="15" customHeight="1">
      <c r="A19" s="40"/>
      <c r="B19" s="3" t="s">
        <v>285</v>
      </c>
      <c r="C19" s="46" t="s">
        <v>312</v>
      </c>
      <c r="D19" s="9"/>
      <c r="E19" s="7"/>
      <c r="F19" s="7"/>
      <c r="G19" s="7"/>
      <c r="H19" s="7"/>
      <c r="I19" s="7"/>
      <c r="J19" s="12"/>
      <c r="K19" s="12"/>
      <c r="L19" s="12"/>
      <c r="M19" s="12"/>
      <c r="N19" s="7">
        <v>228</v>
      </c>
      <c r="O19" s="7">
        <v>147</v>
      </c>
      <c r="P19" s="7">
        <v>76</v>
      </c>
      <c r="Q19" s="16">
        <f t="shared" si="0"/>
        <v>451</v>
      </c>
    </row>
    <row r="20" spans="1:17">
      <c r="A20" s="17" t="s">
        <v>287</v>
      </c>
      <c r="B20" s="16"/>
      <c r="C20" s="16"/>
      <c r="D20" s="16">
        <f>SUM(D3:D19)</f>
        <v>656</v>
      </c>
      <c r="E20" s="16">
        <f t="shared" ref="E20:Q20" si="1">SUM(E3:E19)</f>
        <v>1029</v>
      </c>
      <c r="F20" s="16">
        <f t="shared" si="1"/>
        <v>1226</v>
      </c>
      <c r="G20" s="16">
        <f t="shared" si="1"/>
        <v>1014</v>
      </c>
      <c r="H20" s="16">
        <f t="shared" si="1"/>
        <v>1173</v>
      </c>
      <c r="I20" s="16">
        <f t="shared" si="1"/>
        <v>1014</v>
      </c>
      <c r="J20" s="16">
        <f t="shared" si="1"/>
        <v>1297</v>
      </c>
      <c r="K20" s="16">
        <f t="shared" si="1"/>
        <v>1002</v>
      </c>
      <c r="L20" s="16">
        <f t="shared" si="1"/>
        <v>848</v>
      </c>
      <c r="M20" s="16">
        <f t="shared" si="1"/>
        <v>719</v>
      </c>
      <c r="N20" s="16">
        <f t="shared" si="1"/>
        <v>446</v>
      </c>
      <c r="O20" s="16">
        <f t="shared" si="1"/>
        <v>367</v>
      </c>
      <c r="P20" s="16">
        <f t="shared" si="1"/>
        <v>347</v>
      </c>
      <c r="Q20" s="16">
        <f t="shared" si="1"/>
        <v>11138</v>
      </c>
    </row>
  </sheetData>
  <mergeCells count="7">
    <mergeCell ref="N1:P1"/>
    <mergeCell ref="Q1:Q2"/>
    <mergeCell ref="A1:A2"/>
    <mergeCell ref="A3:A19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6"/>
  <sheetViews>
    <sheetView rightToLeft="1" workbookViewId="0">
      <pane ySplit="2" topLeftCell="A4" activePane="bottomLeft" state="frozen"/>
      <selection pane="bottomLeft" activeCell="C26" sqref="C26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6.710937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1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2"/>
    </row>
    <row r="3" spans="1:17" ht="15" customHeight="1">
      <c r="A3" s="33" t="s">
        <v>205</v>
      </c>
      <c r="B3" s="2" t="s">
        <v>182</v>
      </c>
      <c r="C3" s="45" t="s">
        <v>310</v>
      </c>
      <c r="D3" s="4">
        <v>35</v>
      </c>
      <c r="E3" s="1">
        <v>62</v>
      </c>
      <c r="F3" s="1">
        <v>81</v>
      </c>
      <c r="G3" s="1">
        <v>72</v>
      </c>
      <c r="H3" s="1">
        <v>74</v>
      </c>
      <c r="I3" s="1">
        <v>53</v>
      </c>
      <c r="J3" s="10"/>
      <c r="K3" s="10"/>
      <c r="L3" s="10"/>
      <c r="M3" s="10"/>
      <c r="N3" s="10"/>
      <c r="O3" s="10"/>
      <c r="P3" s="10"/>
      <c r="Q3" s="16">
        <f>SUM(D3:P3)</f>
        <v>377</v>
      </c>
    </row>
    <row r="4" spans="1:17" ht="15" customHeight="1">
      <c r="A4" s="33"/>
      <c r="B4" s="2" t="s">
        <v>183</v>
      </c>
      <c r="C4" s="45" t="s">
        <v>310</v>
      </c>
      <c r="D4" s="4">
        <v>40</v>
      </c>
      <c r="E4" s="1">
        <v>65</v>
      </c>
      <c r="F4" s="1">
        <v>120</v>
      </c>
      <c r="G4" s="1">
        <v>97</v>
      </c>
      <c r="H4" s="1">
        <v>116</v>
      </c>
      <c r="I4" s="1">
        <v>61</v>
      </c>
      <c r="J4" s="10"/>
      <c r="K4" s="10"/>
      <c r="L4" s="10"/>
      <c r="M4" s="10"/>
      <c r="N4" s="10"/>
      <c r="O4" s="10"/>
      <c r="P4" s="10"/>
      <c r="Q4" s="16">
        <f t="shared" ref="Q4:Q25" si="0">SUM(D4:P4)</f>
        <v>499</v>
      </c>
    </row>
    <row r="5" spans="1:17" ht="15" customHeight="1">
      <c r="A5" s="33"/>
      <c r="B5" s="2" t="s">
        <v>184</v>
      </c>
      <c r="C5" s="45" t="s">
        <v>310</v>
      </c>
      <c r="D5" s="4">
        <v>43</v>
      </c>
      <c r="E5" s="1">
        <v>37</v>
      </c>
      <c r="F5" s="1">
        <v>51</v>
      </c>
      <c r="G5" s="1">
        <v>43</v>
      </c>
      <c r="H5" s="1">
        <v>31</v>
      </c>
      <c r="I5" s="1">
        <v>40</v>
      </c>
      <c r="J5" s="10"/>
      <c r="K5" s="10"/>
      <c r="L5" s="10"/>
      <c r="M5" s="10"/>
      <c r="N5" s="10"/>
      <c r="O5" s="10"/>
      <c r="P5" s="10"/>
      <c r="Q5" s="16">
        <f t="shared" si="0"/>
        <v>245</v>
      </c>
    </row>
    <row r="6" spans="1:17" ht="15" customHeight="1">
      <c r="A6" s="33"/>
      <c r="B6" s="2" t="s">
        <v>185</v>
      </c>
      <c r="C6" s="45" t="s">
        <v>310</v>
      </c>
      <c r="D6" s="4">
        <v>42</v>
      </c>
      <c r="E6" s="1">
        <v>65</v>
      </c>
      <c r="F6" s="1">
        <v>63</v>
      </c>
      <c r="G6" s="1">
        <v>79</v>
      </c>
      <c r="H6" s="1">
        <v>62</v>
      </c>
      <c r="I6" s="1">
        <v>72</v>
      </c>
      <c r="J6" s="10"/>
      <c r="K6" s="10"/>
      <c r="L6" s="10"/>
      <c r="M6" s="10"/>
      <c r="N6" s="10"/>
      <c r="O6" s="10"/>
      <c r="P6" s="10"/>
      <c r="Q6" s="16">
        <f t="shared" si="0"/>
        <v>383</v>
      </c>
    </row>
    <row r="7" spans="1:17" ht="15" customHeight="1">
      <c r="A7" s="33"/>
      <c r="B7" s="2" t="s">
        <v>186</v>
      </c>
      <c r="C7" s="45" t="s">
        <v>310</v>
      </c>
      <c r="D7" s="4">
        <v>33</v>
      </c>
      <c r="E7" s="1">
        <v>11</v>
      </c>
      <c r="F7" s="1">
        <v>10</v>
      </c>
      <c r="G7" s="1">
        <v>14</v>
      </c>
      <c r="H7" s="1">
        <v>7</v>
      </c>
      <c r="I7" s="1">
        <v>14</v>
      </c>
      <c r="J7" s="10"/>
      <c r="K7" s="10"/>
      <c r="L7" s="10"/>
      <c r="M7" s="10"/>
      <c r="N7" s="10"/>
      <c r="O7" s="10"/>
      <c r="P7" s="10"/>
      <c r="Q7" s="16">
        <f t="shared" si="0"/>
        <v>89</v>
      </c>
    </row>
    <row r="8" spans="1:17" ht="15" customHeight="1">
      <c r="A8" s="33"/>
      <c r="B8" s="2" t="s">
        <v>187</v>
      </c>
      <c r="C8" s="45" t="s">
        <v>310</v>
      </c>
      <c r="D8" s="4">
        <v>36</v>
      </c>
      <c r="E8" s="1">
        <v>62</v>
      </c>
      <c r="F8" s="1">
        <v>69</v>
      </c>
      <c r="G8" s="1">
        <v>49</v>
      </c>
      <c r="H8" s="1">
        <v>77</v>
      </c>
      <c r="I8" s="1">
        <v>46</v>
      </c>
      <c r="J8" s="10"/>
      <c r="K8" s="10"/>
      <c r="L8" s="10"/>
      <c r="M8" s="10"/>
      <c r="N8" s="10"/>
      <c r="O8" s="10"/>
      <c r="P8" s="10"/>
      <c r="Q8" s="16">
        <f t="shared" si="0"/>
        <v>339</v>
      </c>
    </row>
    <row r="9" spans="1:17" ht="15" customHeight="1">
      <c r="A9" s="33"/>
      <c r="B9" s="2" t="s">
        <v>188</v>
      </c>
      <c r="C9" s="45" t="s">
        <v>310</v>
      </c>
      <c r="D9" s="4">
        <v>34</v>
      </c>
      <c r="E9" s="1">
        <v>57</v>
      </c>
      <c r="F9" s="1">
        <v>68</v>
      </c>
      <c r="G9" s="1">
        <v>56</v>
      </c>
      <c r="H9" s="1">
        <v>66</v>
      </c>
      <c r="I9" s="1">
        <v>63</v>
      </c>
      <c r="J9" s="10"/>
      <c r="K9" s="10"/>
      <c r="L9" s="10"/>
      <c r="M9" s="10"/>
      <c r="N9" s="10"/>
      <c r="O9" s="10"/>
      <c r="P9" s="10"/>
      <c r="Q9" s="16">
        <f t="shared" si="0"/>
        <v>344</v>
      </c>
    </row>
    <row r="10" spans="1:17" ht="15" customHeight="1">
      <c r="A10" s="33"/>
      <c r="B10" s="2" t="s">
        <v>189</v>
      </c>
      <c r="C10" s="45" t="s">
        <v>310</v>
      </c>
      <c r="D10" s="4">
        <v>32</v>
      </c>
      <c r="E10" s="1">
        <v>14</v>
      </c>
      <c r="F10" s="1">
        <v>28</v>
      </c>
      <c r="G10" s="1">
        <v>15</v>
      </c>
      <c r="H10" s="1">
        <v>21</v>
      </c>
      <c r="I10" s="1">
        <v>19</v>
      </c>
      <c r="J10" s="10"/>
      <c r="K10" s="10"/>
      <c r="L10" s="10"/>
      <c r="M10" s="10"/>
      <c r="N10" s="10"/>
      <c r="O10" s="10"/>
      <c r="P10" s="10"/>
      <c r="Q10" s="16">
        <f t="shared" si="0"/>
        <v>129</v>
      </c>
    </row>
    <row r="11" spans="1:17" ht="15" customHeight="1">
      <c r="A11" s="33"/>
      <c r="B11" s="2" t="s">
        <v>190</v>
      </c>
      <c r="C11" s="45" t="s">
        <v>310</v>
      </c>
      <c r="D11" s="4">
        <v>32</v>
      </c>
      <c r="E11" s="1">
        <v>75</v>
      </c>
      <c r="F11" s="1">
        <v>178</v>
      </c>
      <c r="G11" s="1">
        <v>133</v>
      </c>
      <c r="H11" s="1">
        <v>117</v>
      </c>
      <c r="I11" s="1">
        <v>113</v>
      </c>
      <c r="J11" s="10"/>
      <c r="K11" s="10"/>
      <c r="L11" s="10"/>
      <c r="M11" s="10"/>
      <c r="N11" s="10"/>
      <c r="O11" s="10"/>
      <c r="P11" s="10"/>
      <c r="Q11" s="16">
        <f t="shared" si="0"/>
        <v>648</v>
      </c>
    </row>
    <row r="12" spans="1:17" ht="15" customHeight="1">
      <c r="A12" s="33"/>
      <c r="B12" s="2" t="s">
        <v>191</v>
      </c>
      <c r="C12" s="45" t="s">
        <v>310</v>
      </c>
      <c r="D12" s="4">
        <v>36</v>
      </c>
      <c r="E12" s="1">
        <v>60</v>
      </c>
      <c r="F12" s="1">
        <v>81</v>
      </c>
      <c r="G12" s="1">
        <v>70</v>
      </c>
      <c r="H12" s="1">
        <v>113</v>
      </c>
      <c r="I12" s="1">
        <v>65</v>
      </c>
      <c r="J12" s="10"/>
      <c r="K12" s="10"/>
      <c r="L12" s="10"/>
      <c r="M12" s="10"/>
      <c r="N12" s="10"/>
      <c r="O12" s="10"/>
      <c r="P12" s="10"/>
      <c r="Q12" s="16">
        <f t="shared" si="0"/>
        <v>425</v>
      </c>
    </row>
    <row r="13" spans="1:17" ht="15" customHeight="1">
      <c r="A13" s="33"/>
      <c r="B13" s="2" t="s">
        <v>192</v>
      </c>
      <c r="C13" s="45" t="s">
        <v>310</v>
      </c>
      <c r="D13" s="4">
        <v>40</v>
      </c>
      <c r="E13" s="1">
        <v>62</v>
      </c>
      <c r="F13" s="1">
        <v>67</v>
      </c>
      <c r="G13" s="1">
        <v>81</v>
      </c>
      <c r="H13" s="1">
        <v>71</v>
      </c>
      <c r="I13" s="1">
        <v>76</v>
      </c>
      <c r="J13" s="10"/>
      <c r="K13" s="10"/>
      <c r="L13" s="10"/>
      <c r="M13" s="10"/>
      <c r="N13" s="10"/>
      <c r="O13" s="10"/>
      <c r="P13" s="10"/>
      <c r="Q13" s="16">
        <f t="shared" si="0"/>
        <v>397</v>
      </c>
    </row>
    <row r="14" spans="1:17" ht="15" customHeight="1">
      <c r="A14" s="33"/>
      <c r="B14" s="2" t="s">
        <v>193</v>
      </c>
      <c r="C14" s="45" t="s">
        <v>310</v>
      </c>
      <c r="D14" s="4">
        <v>30</v>
      </c>
      <c r="E14" s="1">
        <v>58</v>
      </c>
      <c r="F14" s="1">
        <v>82</v>
      </c>
      <c r="G14" s="1">
        <v>84</v>
      </c>
      <c r="H14" s="1">
        <v>63</v>
      </c>
      <c r="I14" s="1">
        <v>58</v>
      </c>
      <c r="J14" s="10"/>
      <c r="K14" s="10"/>
      <c r="L14" s="10"/>
      <c r="M14" s="10"/>
      <c r="N14" s="10"/>
      <c r="O14" s="10"/>
      <c r="P14" s="10"/>
      <c r="Q14" s="16">
        <f t="shared" si="0"/>
        <v>375</v>
      </c>
    </row>
    <row r="15" spans="1:17" ht="15" customHeight="1">
      <c r="A15" s="33"/>
      <c r="B15" s="2" t="s">
        <v>194</v>
      </c>
      <c r="C15" s="45" t="s">
        <v>310</v>
      </c>
      <c r="D15" s="4">
        <v>30</v>
      </c>
      <c r="E15" s="1">
        <v>2</v>
      </c>
      <c r="F15" s="1">
        <v>1</v>
      </c>
      <c r="G15" s="1">
        <v>1</v>
      </c>
      <c r="H15" s="1">
        <v>1</v>
      </c>
      <c r="I15" s="1">
        <v>0</v>
      </c>
      <c r="J15" s="10"/>
      <c r="K15" s="10"/>
      <c r="L15" s="10"/>
      <c r="M15" s="10"/>
      <c r="N15" s="10"/>
      <c r="O15" s="10"/>
      <c r="P15" s="10"/>
      <c r="Q15" s="16">
        <f t="shared" si="0"/>
        <v>35</v>
      </c>
    </row>
    <row r="16" spans="1:17" ht="15" customHeight="1">
      <c r="A16" s="33"/>
      <c r="B16" s="2" t="s">
        <v>195</v>
      </c>
      <c r="C16" s="45" t="s">
        <v>310</v>
      </c>
      <c r="D16" s="4">
        <v>29</v>
      </c>
      <c r="E16" s="1">
        <v>37</v>
      </c>
      <c r="F16" s="1">
        <v>70</v>
      </c>
      <c r="G16" s="1">
        <v>63</v>
      </c>
      <c r="H16" s="1">
        <v>83</v>
      </c>
      <c r="I16" s="1">
        <v>53</v>
      </c>
      <c r="J16" s="10"/>
      <c r="K16" s="10"/>
      <c r="L16" s="10"/>
      <c r="M16" s="10"/>
      <c r="N16" s="10"/>
      <c r="O16" s="10"/>
      <c r="P16" s="10"/>
      <c r="Q16" s="16">
        <f t="shared" si="0"/>
        <v>335</v>
      </c>
    </row>
    <row r="17" spans="1:17" ht="15" customHeight="1">
      <c r="A17" s="33"/>
      <c r="B17" s="2" t="s">
        <v>196</v>
      </c>
      <c r="C17" s="45" t="s">
        <v>310</v>
      </c>
      <c r="D17" s="4">
        <v>29</v>
      </c>
      <c r="E17" s="1">
        <v>93</v>
      </c>
      <c r="F17" s="1">
        <v>151</v>
      </c>
      <c r="G17" s="1">
        <v>111</v>
      </c>
      <c r="H17" s="1">
        <v>100</v>
      </c>
      <c r="I17" s="1">
        <v>93</v>
      </c>
      <c r="J17" s="10"/>
      <c r="K17" s="10"/>
      <c r="L17" s="10"/>
      <c r="M17" s="10"/>
      <c r="N17" s="10"/>
      <c r="O17" s="10"/>
      <c r="P17" s="10"/>
      <c r="Q17" s="16">
        <f t="shared" si="0"/>
        <v>577</v>
      </c>
    </row>
    <row r="18" spans="1:17" ht="15" customHeight="1">
      <c r="A18" s="33"/>
      <c r="B18" s="2" t="s">
        <v>197</v>
      </c>
      <c r="C18" s="45" t="s">
        <v>311</v>
      </c>
      <c r="D18" s="4"/>
      <c r="E18" s="1"/>
      <c r="F18" s="1"/>
      <c r="G18" s="1"/>
      <c r="H18" s="1"/>
      <c r="I18" s="1"/>
      <c r="J18" s="1">
        <v>232</v>
      </c>
      <c r="K18" s="1">
        <v>166</v>
      </c>
      <c r="L18" s="1">
        <v>134</v>
      </c>
      <c r="M18" s="1">
        <v>147</v>
      </c>
      <c r="N18" s="10"/>
      <c r="O18" s="10"/>
      <c r="P18" s="10"/>
      <c r="Q18" s="16">
        <f t="shared" si="0"/>
        <v>679</v>
      </c>
    </row>
    <row r="19" spans="1:17" ht="15" customHeight="1">
      <c r="A19" s="33"/>
      <c r="B19" s="2" t="s">
        <v>198</v>
      </c>
      <c r="C19" s="45" t="s">
        <v>311</v>
      </c>
      <c r="D19" s="4"/>
      <c r="E19" s="1"/>
      <c r="F19" s="1"/>
      <c r="G19" s="1"/>
      <c r="H19" s="1"/>
      <c r="I19" s="1"/>
      <c r="J19" s="1">
        <v>244</v>
      </c>
      <c r="K19" s="1">
        <v>202</v>
      </c>
      <c r="L19" s="1">
        <v>224</v>
      </c>
      <c r="M19" s="1">
        <v>188</v>
      </c>
      <c r="N19" s="10"/>
      <c r="O19" s="10"/>
      <c r="P19" s="10"/>
      <c r="Q19" s="16">
        <f t="shared" si="0"/>
        <v>858</v>
      </c>
    </row>
    <row r="20" spans="1:17" ht="15" customHeight="1">
      <c r="A20" s="33"/>
      <c r="B20" s="2" t="s">
        <v>199</v>
      </c>
      <c r="C20" s="45" t="s">
        <v>311</v>
      </c>
      <c r="D20" s="4"/>
      <c r="E20" s="1"/>
      <c r="F20" s="1"/>
      <c r="G20" s="1"/>
      <c r="H20" s="1"/>
      <c r="I20" s="1"/>
      <c r="J20" s="1">
        <v>195</v>
      </c>
      <c r="K20" s="1">
        <v>190</v>
      </c>
      <c r="L20" s="1">
        <v>157</v>
      </c>
      <c r="M20" s="1">
        <v>161</v>
      </c>
      <c r="N20" s="10"/>
      <c r="O20" s="10"/>
      <c r="P20" s="10"/>
      <c r="Q20" s="16">
        <f t="shared" si="0"/>
        <v>703</v>
      </c>
    </row>
    <row r="21" spans="1:17" ht="15" customHeight="1">
      <c r="A21" s="33"/>
      <c r="B21" s="2" t="s">
        <v>200</v>
      </c>
      <c r="C21" s="45" t="s">
        <v>311</v>
      </c>
      <c r="D21" s="4"/>
      <c r="E21" s="1"/>
      <c r="F21" s="1"/>
      <c r="G21" s="1"/>
      <c r="H21" s="1"/>
      <c r="I21" s="1"/>
      <c r="J21" s="1">
        <v>147</v>
      </c>
      <c r="K21" s="1">
        <v>157</v>
      </c>
      <c r="L21" s="1">
        <v>57</v>
      </c>
      <c r="M21" s="1">
        <v>54</v>
      </c>
      <c r="N21" s="10"/>
      <c r="O21" s="10"/>
      <c r="P21" s="10"/>
      <c r="Q21" s="16">
        <f t="shared" si="0"/>
        <v>415</v>
      </c>
    </row>
    <row r="22" spans="1:17" ht="15" customHeight="1">
      <c r="A22" s="33"/>
      <c r="B22" s="2" t="s">
        <v>201</v>
      </c>
      <c r="C22" s="45" t="s">
        <v>311</v>
      </c>
      <c r="D22" s="4"/>
      <c r="E22" s="1"/>
      <c r="F22" s="1"/>
      <c r="G22" s="1"/>
      <c r="H22" s="1"/>
      <c r="I22" s="1"/>
      <c r="J22" s="1">
        <v>202</v>
      </c>
      <c r="K22" s="1">
        <v>114</v>
      </c>
      <c r="L22" s="1">
        <v>127</v>
      </c>
      <c r="M22" s="1">
        <v>149</v>
      </c>
      <c r="N22" s="10"/>
      <c r="O22" s="10"/>
      <c r="P22" s="10"/>
      <c r="Q22" s="16">
        <f t="shared" si="0"/>
        <v>592</v>
      </c>
    </row>
    <row r="23" spans="1:17" ht="15" customHeight="1">
      <c r="A23" s="33"/>
      <c r="B23" s="2" t="s">
        <v>202</v>
      </c>
      <c r="C23" s="45" t="s">
        <v>312</v>
      </c>
      <c r="D23" s="4"/>
      <c r="E23" s="1"/>
      <c r="F23" s="1"/>
      <c r="G23" s="1"/>
      <c r="H23" s="1"/>
      <c r="I23" s="1"/>
      <c r="J23" s="10"/>
      <c r="K23" s="10"/>
      <c r="L23" s="10"/>
      <c r="M23" s="10"/>
      <c r="N23" s="1">
        <v>124</v>
      </c>
      <c r="O23" s="1">
        <v>204</v>
      </c>
      <c r="P23" s="1">
        <v>201</v>
      </c>
      <c r="Q23" s="16">
        <f t="shared" si="0"/>
        <v>529</v>
      </c>
    </row>
    <row r="24" spans="1:17" ht="15" customHeight="1">
      <c r="A24" s="33"/>
      <c r="B24" s="2" t="s">
        <v>203</v>
      </c>
      <c r="C24" s="45" t="s">
        <v>312</v>
      </c>
      <c r="D24" s="4"/>
      <c r="E24" s="1"/>
      <c r="F24" s="1"/>
      <c r="G24" s="1"/>
      <c r="H24" s="1"/>
      <c r="I24" s="1"/>
      <c r="J24" s="10"/>
      <c r="K24" s="10"/>
      <c r="L24" s="10"/>
      <c r="M24" s="10"/>
      <c r="N24" s="1">
        <v>134</v>
      </c>
      <c r="O24" s="1">
        <v>112</v>
      </c>
      <c r="P24" s="1">
        <v>121</v>
      </c>
      <c r="Q24" s="16">
        <f t="shared" si="0"/>
        <v>367</v>
      </c>
    </row>
    <row r="25" spans="1:17" ht="15" customHeight="1">
      <c r="A25" s="34"/>
      <c r="B25" s="3" t="s">
        <v>204</v>
      </c>
      <c r="C25" s="46" t="s">
        <v>312</v>
      </c>
      <c r="D25" s="9"/>
      <c r="E25" s="7"/>
      <c r="F25" s="7"/>
      <c r="G25" s="7"/>
      <c r="H25" s="7"/>
      <c r="I25" s="7"/>
      <c r="J25" s="12"/>
      <c r="K25" s="12"/>
      <c r="L25" s="12"/>
      <c r="M25" s="12"/>
      <c r="N25" s="7">
        <v>179</v>
      </c>
      <c r="O25" s="7">
        <v>150</v>
      </c>
      <c r="P25" s="7">
        <v>186</v>
      </c>
      <c r="Q25" s="16">
        <f t="shared" si="0"/>
        <v>515</v>
      </c>
    </row>
    <row r="26" spans="1:17">
      <c r="A26" s="17" t="s">
        <v>287</v>
      </c>
      <c r="B26" s="16"/>
      <c r="C26" s="16"/>
      <c r="D26" s="16">
        <f>SUM(D3:D25)</f>
        <v>521</v>
      </c>
      <c r="E26" s="16">
        <f t="shared" ref="E26:Q26" si="1">SUM(E3:E25)</f>
        <v>760</v>
      </c>
      <c r="F26" s="16">
        <f t="shared" si="1"/>
        <v>1120</v>
      </c>
      <c r="G26" s="16">
        <f t="shared" si="1"/>
        <v>968</v>
      </c>
      <c r="H26" s="16">
        <f t="shared" si="1"/>
        <v>1002</v>
      </c>
      <c r="I26" s="16">
        <f t="shared" si="1"/>
        <v>826</v>
      </c>
      <c r="J26" s="16">
        <f t="shared" si="1"/>
        <v>1020</v>
      </c>
      <c r="K26" s="16">
        <f t="shared" si="1"/>
        <v>829</v>
      </c>
      <c r="L26" s="16">
        <f t="shared" si="1"/>
        <v>699</v>
      </c>
      <c r="M26" s="16">
        <f t="shared" si="1"/>
        <v>699</v>
      </c>
      <c r="N26" s="16">
        <f t="shared" si="1"/>
        <v>437</v>
      </c>
      <c r="O26" s="16">
        <f t="shared" si="1"/>
        <v>466</v>
      </c>
      <c r="P26" s="16">
        <f t="shared" si="1"/>
        <v>508</v>
      </c>
      <c r="Q26" s="16">
        <f t="shared" si="1"/>
        <v>9855</v>
      </c>
    </row>
  </sheetData>
  <mergeCells count="7">
    <mergeCell ref="N1:P1"/>
    <mergeCell ref="Q1:Q2"/>
    <mergeCell ref="A1:A2"/>
    <mergeCell ref="A3:A25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8"/>
  <sheetViews>
    <sheetView rightToLeft="1" workbookViewId="0">
      <pane ySplit="2" topLeftCell="A6" activePane="bottomLeft" state="frozen"/>
      <selection pane="bottomLeft" activeCell="C12" sqref="C12"/>
    </sheetView>
  </sheetViews>
  <sheetFormatPr baseColWidth="10" defaultColWidth="9" defaultRowHeight="15"/>
  <cols>
    <col min="1" max="1" width="13.28515625" customWidth="1"/>
    <col min="2" max="2" width="34.85546875" customWidth="1"/>
    <col min="3" max="3" width="7.425781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1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2"/>
    </row>
    <row r="3" spans="1:17" ht="15" customHeight="1">
      <c r="A3" s="33" t="s">
        <v>231</v>
      </c>
      <c r="B3" s="2" t="s">
        <v>206</v>
      </c>
      <c r="C3" s="45" t="s">
        <v>310</v>
      </c>
      <c r="D3" s="4">
        <v>50</v>
      </c>
      <c r="E3" s="1">
        <v>41</v>
      </c>
      <c r="F3" s="1">
        <v>71</v>
      </c>
      <c r="G3" s="1">
        <v>71</v>
      </c>
      <c r="H3" s="1">
        <v>61</v>
      </c>
      <c r="I3" s="1">
        <v>58</v>
      </c>
      <c r="J3" s="10"/>
      <c r="K3" s="10"/>
      <c r="L3" s="10"/>
      <c r="M3" s="10"/>
      <c r="N3" s="10"/>
      <c r="O3" s="10"/>
      <c r="P3" s="10"/>
      <c r="Q3" s="16">
        <f>SUM(D3:P3)</f>
        <v>352</v>
      </c>
    </row>
    <row r="4" spans="1:17" ht="15" customHeight="1">
      <c r="A4" s="33"/>
      <c r="B4" s="2" t="s">
        <v>207</v>
      </c>
      <c r="C4" s="45" t="s">
        <v>310</v>
      </c>
      <c r="D4" s="4">
        <v>53</v>
      </c>
      <c r="E4" s="1">
        <v>40</v>
      </c>
      <c r="F4" s="1">
        <v>63</v>
      </c>
      <c r="G4" s="1">
        <v>61</v>
      </c>
      <c r="H4" s="1">
        <v>56</v>
      </c>
      <c r="I4" s="1">
        <v>64</v>
      </c>
      <c r="J4" s="10"/>
      <c r="K4" s="10"/>
      <c r="L4" s="10"/>
      <c r="M4" s="10"/>
      <c r="N4" s="10"/>
      <c r="O4" s="10"/>
      <c r="P4" s="10"/>
      <c r="Q4" s="16">
        <f t="shared" ref="Q4:Q27" si="0">SUM(D4:P4)</f>
        <v>337</v>
      </c>
    </row>
    <row r="5" spans="1:17" ht="15" customHeight="1">
      <c r="A5" s="33"/>
      <c r="B5" s="2" t="s">
        <v>208</v>
      </c>
      <c r="C5" s="45" t="s">
        <v>310</v>
      </c>
      <c r="D5" s="4">
        <v>42</v>
      </c>
      <c r="E5" s="1">
        <v>33</v>
      </c>
      <c r="F5" s="1">
        <v>68</v>
      </c>
      <c r="G5" s="1">
        <v>49</v>
      </c>
      <c r="H5" s="1">
        <v>45</v>
      </c>
      <c r="I5" s="1">
        <v>42</v>
      </c>
      <c r="J5" s="10"/>
      <c r="K5" s="10"/>
      <c r="L5" s="10"/>
      <c r="M5" s="10"/>
      <c r="N5" s="10"/>
      <c r="O5" s="10"/>
      <c r="P5" s="10"/>
      <c r="Q5" s="16">
        <f t="shared" si="0"/>
        <v>279</v>
      </c>
    </row>
    <row r="6" spans="1:17" ht="15" customHeight="1">
      <c r="A6" s="33"/>
      <c r="B6" s="2" t="s">
        <v>209</v>
      </c>
      <c r="C6" s="45" t="s">
        <v>310</v>
      </c>
      <c r="D6" s="4">
        <v>50</v>
      </c>
      <c r="E6" s="1">
        <v>1</v>
      </c>
      <c r="F6" s="1">
        <v>4</v>
      </c>
      <c r="G6" s="1">
        <v>4</v>
      </c>
      <c r="H6" s="1">
        <v>5</v>
      </c>
      <c r="I6" s="1">
        <v>3</v>
      </c>
      <c r="J6" s="10"/>
      <c r="K6" s="10"/>
      <c r="L6" s="10"/>
      <c r="M6" s="10"/>
      <c r="N6" s="10"/>
      <c r="O6" s="10"/>
      <c r="P6" s="10"/>
      <c r="Q6" s="16">
        <f t="shared" si="0"/>
        <v>67</v>
      </c>
    </row>
    <row r="7" spans="1:17" ht="15" customHeight="1">
      <c r="A7" s="33"/>
      <c r="B7" s="2" t="s">
        <v>210</v>
      </c>
      <c r="C7" s="45" t="s">
        <v>310</v>
      </c>
      <c r="D7" s="4">
        <v>44</v>
      </c>
      <c r="E7" s="1">
        <v>2</v>
      </c>
      <c r="F7" s="1">
        <v>7</v>
      </c>
      <c r="G7" s="1">
        <v>2</v>
      </c>
      <c r="H7" s="1">
        <v>8</v>
      </c>
      <c r="I7" s="1">
        <v>10</v>
      </c>
      <c r="J7" s="10"/>
      <c r="K7" s="10"/>
      <c r="L7" s="10"/>
      <c r="M7" s="10"/>
      <c r="N7" s="10"/>
      <c r="O7" s="10"/>
      <c r="P7" s="10"/>
      <c r="Q7" s="16">
        <f t="shared" si="0"/>
        <v>73</v>
      </c>
    </row>
    <row r="8" spans="1:17" ht="15" customHeight="1">
      <c r="A8" s="33"/>
      <c r="B8" s="2" t="s">
        <v>211</v>
      </c>
      <c r="C8" s="45" t="s">
        <v>310</v>
      </c>
      <c r="D8" s="4">
        <v>56</v>
      </c>
      <c r="E8" s="1">
        <v>5</v>
      </c>
      <c r="F8" s="1">
        <v>2</v>
      </c>
      <c r="G8" s="1">
        <v>6</v>
      </c>
      <c r="H8" s="1">
        <v>6</v>
      </c>
      <c r="I8" s="1">
        <v>4</v>
      </c>
      <c r="J8" s="10"/>
      <c r="K8" s="10"/>
      <c r="L8" s="10"/>
      <c r="M8" s="10"/>
      <c r="N8" s="10"/>
      <c r="O8" s="10"/>
      <c r="P8" s="10"/>
      <c r="Q8" s="16">
        <f t="shared" si="0"/>
        <v>79</v>
      </c>
    </row>
    <row r="9" spans="1:17" ht="15" customHeight="1">
      <c r="A9" s="33"/>
      <c r="B9" s="2" t="s">
        <v>212</v>
      </c>
      <c r="C9" s="45" t="s">
        <v>310</v>
      </c>
      <c r="D9" s="4">
        <v>43</v>
      </c>
      <c r="E9" s="1">
        <v>20</v>
      </c>
      <c r="F9" s="1">
        <v>16</v>
      </c>
      <c r="G9" s="1">
        <v>30</v>
      </c>
      <c r="H9" s="1">
        <v>29</v>
      </c>
      <c r="I9" s="1">
        <v>28</v>
      </c>
      <c r="J9" s="10"/>
      <c r="K9" s="10"/>
      <c r="L9" s="10"/>
      <c r="M9" s="10"/>
      <c r="N9" s="10"/>
      <c r="O9" s="10"/>
      <c r="P9" s="10"/>
      <c r="Q9" s="16">
        <f t="shared" si="0"/>
        <v>166</v>
      </c>
    </row>
    <row r="10" spans="1:17" ht="15" customHeight="1">
      <c r="A10" s="33"/>
      <c r="B10" s="2" t="s">
        <v>213</v>
      </c>
      <c r="C10" s="45" t="s">
        <v>310</v>
      </c>
      <c r="D10" s="4">
        <v>50</v>
      </c>
      <c r="E10" s="1"/>
      <c r="F10" s="1">
        <v>11</v>
      </c>
      <c r="G10" s="1">
        <v>2</v>
      </c>
      <c r="H10" s="1">
        <v>3</v>
      </c>
      <c r="I10" s="1">
        <v>1</v>
      </c>
      <c r="J10" s="10"/>
      <c r="K10" s="10"/>
      <c r="L10" s="10"/>
      <c r="M10" s="10"/>
      <c r="N10" s="10"/>
      <c r="O10" s="10"/>
      <c r="P10" s="10"/>
      <c r="Q10" s="16">
        <f t="shared" si="0"/>
        <v>67</v>
      </c>
    </row>
    <row r="11" spans="1:17" ht="15" customHeight="1">
      <c r="A11" s="33"/>
      <c r="B11" s="2" t="s">
        <v>214</v>
      </c>
      <c r="C11" s="45" t="s">
        <v>310</v>
      </c>
      <c r="D11" s="4">
        <v>20</v>
      </c>
      <c r="E11" s="1">
        <v>44</v>
      </c>
      <c r="F11" s="1">
        <v>72</v>
      </c>
      <c r="G11" s="1">
        <v>70</v>
      </c>
      <c r="H11" s="1">
        <v>62</v>
      </c>
      <c r="I11" s="1">
        <v>80</v>
      </c>
      <c r="J11" s="10"/>
      <c r="K11" s="10"/>
      <c r="L11" s="10"/>
      <c r="M11" s="10"/>
      <c r="N11" s="10"/>
      <c r="O11" s="10"/>
      <c r="P11" s="10"/>
      <c r="Q11" s="16">
        <f t="shared" si="0"/>
        <v>348</v>
      </c>
    </row>
    <row r="12" spans="1:17" ht="15" customHeight="1">
      <c r="A12" s="33"/>
      <c r="B12" s="2" t="s">
        <v>215</v>
      </c>
      <c r="C12" s="45" t="s">
        <v>310</v>
      </c>
      <c r="D12" s="4"/>
      <c r="E12" s="1">
        <v>35</v>
      </c>
      <c r="F12" s="1">
        <v>56</v>
      </c>
      <c r="G12" s="1">
        <v>42</v>
      </c>
      <c r="H12" s="1">
        <v>50</v>
      </c>
      <c r="I12" s="1">
        <v>46</v>
      </c>
      <c r="J12" s="10"/>
      <c r="K12" s="10"/>
      <c r="L12" s="10"/>
      <c r="M12" s="10"/>
      <c r="N12" s="10"/>
      <c r="O12" s="10"/>
      <c r="P12" s="10"/>
      <c r="Q12" s="16">
        <f t="shared" si="0"/>
        <v>229</v>
      </c>
    </row>
    <row r="13" spans="1:17" ht="15" customHeight="1">
      <c r="A13" s="33"/>
      <c r="B13" s="2" t="s">
        <v>216</v>
      </c>
      <c r="C13" s="45" t="s">
        <v>310</v>
      </c>
      <c r="D13" s="4"/>
      <c r="E13" s="1">
        <v>39</v>
      </c>
      <c r="F13" s="1">
        <v>26</v>
      </c>
      <c r="G13" s="1">
        <v>17</v>
      </c>
      <c r="H13" s="1">
        <v>35</v>
      </c>
      <c r="I13" s="1">
        <v>27</v>
      </c>
      <c r="J13" s="10"/>
      <c r="K13" s="10"/>
      <c r="L13" s="10"/>
      <c r="M13" s="10"/>
      <c r="N13" s="10"/>
      <c r="O13" s="10"/>
      <c r="P13" s="10"/>
      <c r="Q13" s="16">
        <f t="shared" si="0"/>
        <v>144</v>
      </c>
    </row>
    <row r="14" spans="1:17" ht="15" customHeight="1">
      <c r="A14" s="33"/>
      <c r="B14" s="2" t="s">
        <v>217</v>
      </c>
      <c r="C14" s="45" t="s">
        <v>310</v>
      </c>
      <c r="D14" s="4"/>
      <c r="E14" s="1">
        <v>16</v>
      </c>
      <c r="F14" s="1">
        <v>19</v>
      </c>
      <c r="G14" s="1">
        <v>19</v>
      </c>
      <c r="H14" s="1">
        <v>18</v>
      </c>
      <c r="I14" s="1">
        <v>19</v>
      </c>
      <c r="J14" s="10"/>
      <c r="K14" s="10"/>
      <c r="L14" s="10"/>
      <c r="M14" s="10"/>
      <c r="N14" s="10"/>
      <c r="O14" s="10"/>
      <c r="P14" s="10"/>
      <c r="Q14" s="16">
        <f t="shared" si="0"/>
        <v>91</v>
      </c>
    </row>
    <row r="15" spans="1:17" ht="15" customHeight="1">
      <c r="A15" s="33"/>
      <c r="B15" s="2" t="s">
        <v>218</v>
      </c>
      <c r="C15" s="45" t="s">
        <v>310</v>
      </c>
      <c r="D15" s="4"/>
      <c r="E15" s="1">
        <v>17</v>
      </c>
      <c r="F15" s="1">
        <v>13</v>
      </c>
      <c r="G15" s="1">
        <v>19</v>
      </c>
      <c r="H15" s="1">
        <v>24</v>
      </c>
      <c r="I15" s="1">
        <v>18</v>
      </c>
      <c r="J15" s="10"/>
      <c r="K15" s="10"/>
      <c r="L15" s="10"/>
      <c r="M15" s="10"/>
      <c r="N15" s="10"/>
      <c r="O15" s="10"/>
      <c r="P15" s="10"/>
      <c r="Q15" s="16">
        <f t="shared" si="0"/>
        <v>91</v>
      </c>
    </row>
    <row r="16" spans="1:17" ht="15" customHeight="1">
      <c r="A16" s="33"/>
      <c r="B16" s="2" t="s">
        <v>219</v>
      </c>
      <c r="C16" s="45" t="s">
        <v>310</v>
      </c>
      <c r="D16" s="4"/>
      <c r="E16" s="1">
        <v>15</v>
      </c>
      <c r="F16" s="1">
        <v>34</v>
      </c>
      <c r="G16" s="1">
        <v>28</v>
      </c>
      <c r="H16" s="1">
        <v>28</v>
      </c>
      <c r="I16" s="1">
        <v>22</v>
      </c>
      <c r="J16" s="10"/>
      <c r="K16" s="10"/>
      <c r="L16" s="10"/>
      <c r="M16" s="10"/>
      <c r="N16" s="10"/>
      <c r="O16" s="10"/>
      <c r="P16" s="10"/>
      <c r="Q16" s="16">
        <f t="shared" si="0"/>
        <v>127</v>
      </c>
    </row>
    <row r="17" spans="1:17" ht="15" customHeight="1">
      <c r="A17" s="33"/>
      <c r="B17" s="2" t="s">
        <v>220</v>
      </c>
      <c r="C17" s="45" t="s">
        <v>310</v>
      </c>
      <c r="D17" s="4"/>
      <c r="E17" s="1">
        <v>62</v>
      </c>
      <c r="F17" s="1">
        <v>66</v>
      </c>
      <c r="G17" s="1">
        <v>64</v>
      </c>
      <c r="H17" s="1">
        <v>50</v>
      </c>
      <c r="I17" s="1">
        <v>66</v>
      </c>
      <c r="J17" s="10"/>
      <c r="K17" s="10"/>
      <c r="L17" s="10"/>
      <c r="M17" s="10"/>
      <c r="N17" s="10"/>
      <c r="O17" s="10"/>
      <c r="P17" s="10"/>
      <c r="Q17" s="16">
        <f t="shared" si="0"/>
        <v>308</v>
      </c>
    </row>
    <row r="18" spans="1:17" ht="15" customHeight="1">
      <c r="A18" s="33"/>
      <c r="B18" s="2" t="s">
        <v>221</v>
      </c>
      <c r="C18" s="45" t="s">
        <v>310</v>
      </c>
      <c r="D18" s="4"/>
      <c r="E18" s="1">
        <v>55</v>
      </c>
      <c r="F18" s="1">
        <v>7</v>
      </c>
      <c r="G18" s="1">
        <v>4</v>
      </c>
      <c r="H18" s="1">
        <v>1</v>
      </c>
      <c r="I18" s="1">
        <v>2</v>
      </c>
      <c r="J18" s="10"/>
      <c r="K18" s="10"/>
      <c r="L18" s="10"/>
      <c r="M18" s="10"/>
      <c r="N18" s="10"/>
      <c r="O18" s="10"/>
      <c r="P18" s="10"/>
      <c r="Q18" s="16">
        <f t="shared" si="0"/>
        <v>69</v>
      </c>
    </row>
    <row r="19" spans="1:17" ht="15" customHeight="1">
      <c r="A19" s="33"/>
      <c r="B19" s="2" t="s">
        <v>222</v>
      </c>
      <c r="C19" s="45" t="s">
        <v>310</v>
      </c>
      <c r="D19" s="4"/>
      <c r="E19" s="1">
        <v>46</v>
      </c>
      <c r="F19" s="1">
        <v>75</v>
      </c>
      <c r="G19" s="1">
        <v>67</v>
      </c>
      <c r="H19" s="1">
        <v>71</v>
      </c>
      <c r="I19" s="1">
        <v>51</v>
      </c>
      <c r="J19" s="10"/>
      <c r="K19" s="10"/>
      <c r="L19" s="10"/>
      <c r="M19" s="10"/>
      <c r="N19" s="10"/>
      <c r="O19" s="10"/>
      <c r="P19" s="10"/>
      <c r="Q19" s="16">
        <f t="shared" si="0"/>
        <v>310</v>
      </c>
    </row>
    <row r="20" spans="1:17" ht="15" customHeight="1">
      <c r="A20" s="33"/>
      <c r="B20" s="2" t="s">
        <v>223</v>
      </c>
      <c r="C20" s="45" t="s">
        <v>310</v>
      </c>
      <c r="D20" s="4"/>
      <c r="E20" s="1">
        <v>35</v>
      </c>
      <c r="F20" s="1">
        <v>6</v>
      </c>
      <c r="G20" s="1">
        <v>2</v>
      </c>
      <c r="H20" s="1">
        <v>12</v>
      </c>
      <c r="I20" s="1">
        <v>6</v>
      </c>
      <c r="J20" s="10"/>
      <c r="K20" s="10"/>
      <c r="L20" s="10"/>
      <c r="M20" s="10"/>
      <c r="N20" s="10"/>
      <c r="O20" s="10"/>
      <c r="P20" s="10"/>
      <c r="Q20" s="16">
        <f t="shared" si="0"/>
        <v>61</v>
      </c>
    </row>
    <row r="21" spans="1:17" ht="15" customHeight="1">
      <c r="A21" s="33"/>
      <c r="B21" s="2" t="s">
        <v>224</v>
      </c>
      <c r="C21" s="45" t="s">
        <v>310</v>
      </c>
      <c r="D21" s="4"/>
      <c r="E21" s="1">
        <v>34</v>
      </c>
      <c r="F21" s="1">
        <v>37</v>
      </c>
      <c r="G21" s="1">
        <v>29</v>
      </c>
      <c r="H21" s="1">
        <v>46</v>
      </c>
      <c r="I21" s="1">
        <v>27</v>
      </c>
      <c r="J21" s="10"/>
      <c r="K21" s="10"/>
      <c r="L21" s="10"/>
      <c r="M21" s="10"/>
      <c r="N21" s="10"/>
      <c r="O21" s="10"/>
      <c r="P21" s="10"/>
      <c r="Q21" s="16">
        <f t="shared" si="0"/>
        <v>173</v>
      </c>
    </row>
    <row r="22" spans="1:17" ht="15" customHeight="1">
      <c r="A22" s="33"/>
      <c r="B22" s="2" t="s">
        <v>225</v>
      </c>
      <c r="C22" s="45" t="s">
        <v>310</v>
      </c>
      <c r="D22" s="4"/>
      <c r="E22" s="1">
        <v>20</v>
      </c>
      <c r="F22" s="1">
        <v>22</v>
      </c>
      <c r="G22" s="1">
        <v>13</v>
      </c>
      <c r="H22" s="1">
        <v>29</v>
      </c>
      <c r="I22" s="1">
        <v>20</v>
      </c>
      <c r="J22" s="10"/>
      <c r="K22" s="10"/>
      <c r="L22" s="10"/>
      <c r="M22" s="10"/>
      <c r="N22" s="10"/>
      <c r="O22" s="10"/>
      <c r="P22" s="10"/>
      <c r="Q22" s="16">
        <f t="shared" si="0"/>
        <v>104</v>
      </c>
    </row>
    <row r="23" spans="1:17" ht="15" customHeight="1">
      <c r="A23" s="33"/>
      <c r="B23" s="2" t="s">
        <v>226</v>
      </c>
      <c r="C23" s="45" t="s">
        <v>311</v>
      </c>
      <c r="D23" s="4"/>
      <c r="E23" s="1"/>
      <c r="F23" s="1"/>
      <c r="G23" s="1"/>
      <c r="H23" s="1"/>
      <c r="I23" s="1"/>
      <c r="J23" s="8">
        <v>246</v>
      </c>
      <c r="K23" s="8">
        <v>194</v>
      </c>
      <c r="L23" s="8">
        <v>178</v>
      </c>
      <c r="M23" s="8">
        <v>207</v>
      </c>
      <c r="N23" s="10"/>
      <c r="O23" s="10"/>
      <c r="P23" s="10"/>
      <c r="Q23" s="16">
        <f t="shared" si="0"/>
        <v>825</v>
      </c>
    </row>
    <row r="24" spans="1:17" ht="15" customHeight="1">
      <c r="A24" s="33"/>
      <c r="B24" s="2" t="s">
        <v>227</v>
      </c>
      <c r="C24" s="45" t="s">
        <v>311</v>
      </c>
      <c r="D24" s="4"/>
      <c r="E24" s="1"/>
      <c r="F24" s="1"/>
      <c r="G24" s="1"/>
      <c r="H24" s="1"/>
      <c r="I24" s="1"/>
      <c r="J24" s="1">
        <v>244</v>
      </c>
      <c r="K24" s="1">
        <v>202</v>
      </c>
      <c r="L24" s="1">
        <v>167</v>
      </c>
      <c r="M24" s="1">
        <v>139</v>
      </c>
      <c r="N24" s="10"/>
      <c r="O24" s="10"/>
      <c r="P24" s="10"/>
      <c r="Q24" s="16">
        <f t="shared" si="0"/>
        <v>752</v>
      </c>
    </row>
    <row r="25" spans="1:17" ht="15" customHeight="1">
      <c r="A25" s="33"/>
      <c r="B25" s="2" t="s">
        <v>228</v>
      </c>
      <c r="C25" s="45" t="s">
        <v>311</v>
      </c>
      <c r="D25" s="4"/>
      <c r="E25" s="1"/>
      <c r="F25" s="1"/>
      <c r="G25" s="1"/>
      <c r="H25" s="1"/>
      <c r="I25" s="1"/>
      <c r="J25" s="1">
        <v>183</v>
      </c>
      <c r="K25" s="1">
        <v>164</v>
      </c>
      <c r="L25" s="1">
        <v>165</v>
      </c>
      <c r="M25" s="1">
        <v>156</v>
      </c>
      <c r="N25" s="10"/>
      <c r="O25" s="10"/>
      <c r="P25" s="10"/>
      <c r="Q25" s="16">
        <f t="shared" si="0"/>
        <v>668</v>
      </c>
    </row>
    <row r="26" spans="1:17" ht="15" customHeight="1">
      <c r="A26" s="33"/>
      <c r="B26" s="2" t="s">
        <v>229</v>
      </c>
      <c r="C26" s="45" t="s">
        <v>312</v>
      </c>
      <c r="D26" s="4"/>
      <c r="E26" s="1"/>
      <c r="F26" s="1"/>
      <c r="G26" s="1"/>
      <c r="H26" s="1"/>
      <c r="I26" s="1"/>
      <c r="J26" s="10"/>
      <c r="K26" s="10"/>
      <c r="L26" s="10"/>
      <c r="M26" s="10"/>
      <c r="N26" s="1">
        <v>134</v>
      </c>
      <c r="O26" s="1">
        <v>131</v>
      </c>
      <c r="P26" s="1">
        <v>154</v>
      </c>
      <c r="Q26" s="16">
        <f t="shared" si="0"/>
        <v>419</v>
      </c>
    </row>
    <row r="27" spans="1:17" ht="15" customHeight="1">
      <c r="A27" s="34"/>
      <c r="B27" s="3" t="s">
        <v>230</v>
      </c>
      <c r="C27" s="46" t="s">
        <v>312</v>
      </c>
      <c r="D27" s="9"/>
      <c r="E27" s="7"/>
      <c r="F27" s="7"/>
      <c r="G27" s="7"/>
      <c r="H27" s="7"/>
      <c r="I27" s="7"/>
      <c r="J27" s="12"/>
      <c r="K27" s="12"/>
      <c r="L27" s="12"/>
      <c r="M27" s="12"/>
      <c r="N27" s="7">
        <v>179</v>
      </c>
      <c r="O27" s="7">
        <v>126</v>
      </c>
      <c r="P27" s="7">
        <v>182</v>
      </c>
      <c r="Q27" s="16">
        <f t="shared" si="0"/>
        <v>487</v>
      </c>
    </row>
    <row r="28" spans="1:17">
      <c r="A28" s="17" t="s">
        <v>287</v>
      </c>
      <c r="B28" s="16"/>
      <c r="C28" s="16"/>
      <c r="D28" s="16">
        <f>SUM(D3:D27)</f>
        <v>408</v>
      </c>
      <c r="E28" s="16">
        <f t="shared" ref="E28:Q28" si="1">SUM(E3:E27)</f>
        <v>560</v>
      </c>
      <c r="F28" s="16">
        <f t="shared" si="1"/>
        <v>675</v>
      </c>
      <c r="G28" s="16">
        <f t="shared" si="1"/>
        <v>599</v>
      </c>
      <c r="H28" s="16">
        <f t="shared" si="1"/>
        <v>639</v>
      </c>
      <c r="I28" s="16">
        <f t="shared" si="1"/>
        <v>594</v>
      </c>
      <c r="J28" s="16">
        <f t="shared" si="1"/>
        <v>673</v>
      </c>
      <c r="K28" s="16">
        <f t="shared" si="1"/>
        <v>560</v>
      </c>
      <c r="L28" s="16">
        <f t="shared" si="1"/>
        <v>510</v>
      </c>
      <c r="M28" s="16">
        <f t="shared" si="1"/>
        <v>502</v>
      </c>
      <c r="N28" s="16">
        <f t="shared" si="1"/>
        <v>313</v>
      </c>
      <c r="O28" s="16">
        <f t="shared" si="1"/>
        <v>257</v>
      </c>
      <c r="P28" s="16">
        <f t="shared" si="1"/>
        <v>336</v>
      </c>
      <c r="Q28" s="16">
        <f t="shared" si="1"/>
        <v>6626</v>
      </c>
    </row>
  </sheetData>
  <mergeCells count="7">
    <mergeCell ref="N1:P1"/>
    <mergeCell ref="Q1:Q2"/>
    <mergeCell ref="A3:A27"/>
    <mergeCell ref="A1:A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8"/>
  <sheetViews>
    <sheetView rightToLeft="1" workbookViewId="0">
      <pane ySplit="2" topLeftCell="A3" activePane="bottomLeft" state="frozen"/>
      <selection pane="bottomLeft" activeCell="C18" sqref="C18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7.710937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1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2"/>
    </row>
    <row r="3" spans="1:17">
      <c r="A3" s="39" t="s">
        <v>233</v>
      </c>
      <c r="B3" s="2" t="s">
        <v>232</v>
      </c>
      <c r="C3" s="45" t="s">
        <v>310</v>
      </c>
      <c r="D3" s="4">
        <v>40</v>
      </c>
      <c r="E3" s="1">
        <v>60</v>
      </c>
      <c r="F3" s="1">
        <v>77</v>
      </c>
      <c r="G3" s="1">
        <v>78</v>
      </c>
      <c r="H3" s="1">
        <v>73</v>
      </c>
      <c r="I3" s="1">
        <v>70</v>
      </c>
      <c r="J3" s="10"/>
      <c r="K3" s="10"/>
      <c r="L3" s="10"/>
      <c r="M3" s="10"/>
      <c r="N3" s="10"/>
      <c r="O3" s="10"/>
      <c r="P3" s="10"/>
      <c r="Q3" s="16">
        <f>SUM(D3:P3)</f>
        <v>398</v>
      </c>
    </row>
    <row r="4" spans="1:17">
      <c r="A4" s="39"/>
      <c r="B4" s="2" t="s">
        <v>234</v>
      </c>
      <c r="C4" s="45" t="s">
        <v>310</v>
      </c>
      <c r="D4" s="4">
        <v>27</v>
      </c>
      <c r="E4" s="1">
        <v>49</v>
      </c>
      <c r="F4" s="1">
        <v>76</v>
      </c>
      <c r="G4" s="1">
        <v>68</v>
      </c>
      <c r="H4" s="1">
        <v>71</v>
      </c>
      <c r="I4" s="1">
        <v>52</v>
      </c>
      <c r="J4" s="10"/>
      <c r="K4" s="10"/>
      <c r="L4" s="10"/>
      <c r="M4" s="10"/>
      <c r="N4" s="10"/>
      <c r="O4" s="10"/>
      <c r="P4" s="10"/>
      <c r="Q4" s="16">
        <f t="shared" ref="Q4:Q17" si="0">SUM(D4:P4)</f>
        <v>343</v>
      </c>
    </row>
    <row r="5" spans="1:17">
      <c r="A5" s="39"/>
      <c r="B5" s="2" t="s">
        <v>235</v>
      </c>
      <c r="C5" s="45" t="s">
        <v>310</v>
      </c>
      <c r="D5" s="4">
        <v>30</v>
      </c>
      <c r="E5" s="1">
        <v>43</v>
      </c>
      <c r="F5" s="1">
        <v>52</v>
      </c>
      <c r="G5" s="1">
        <v>51</v>
      </c>
      <c r="H5" s="1">
        <v>64</v>
      </c>
      <c r="I5" s="1">
        <v>35</v>
      </c>
      <c r="J5" s="10"/>
      <c r="K5" s="10"/>
      <c r="L5" s="10"/>
      <c r="M5" s="10"/>
      <c r="N5" s="10"/>
      <c r="O5" s="10"/>
      <c r="P5" s="10"/>
      <c r="Q5" s="16">
        <f t="shared" si="0"/>
        <v>275</v>
      </c>
    </row>
    <row r="6" spans="1:17">
      <c r="A6" s="39"/>
      <c r="B6" s="2" t="s">
        <v>236</v>
      </c>
      <c r="C6" s="45" t="s">
        <v>310</v>
      </c>
      <c r="D6" s="4">
        <v>31</v>
      </c>
      <c r="E6" s="1">
        <v>62</v>
      </c>
      <c r="F6" s="1">
        <v>118</v>
      </c>
      <c r="G6" s="1">
        <v>90</v>
      </c>
      <c r="H6" s="1">
        <v>88</v>
      </c>
      <c r="I6" s="1">
        <v>61</v>
      </c>
      <c r="J6" s="10"/>
      <c r="K6" s="10"/>
      <c r="L6" s="10"/>
      <c r="M6" s="10"/>
      <c r="N6" s="10"/>
      <c r="O6" s="10"/>
      <c r="P6" s="10"/>
      <c r="Q6" s="16">
        <f t="shared" si="0"/>
        <v>450</v>
      </c>
    </row>
    <row r="7" spans="1:17">
      <c r="A7" s="39"/>
      <c r="B7" s="2" t="s">
        <v>237</v>
      </c>
      <c r="C7" s="45" t="s">
        <v>310</v>
      </c>
      <c r="D7" s="4">
        <v>33</v>
      </c>
      <c r="E7" s="1">
        <v>67</v>
      </c>
      <c r="F7" s="1">
        <v>86</v>
      </c>
      <c r="G7" s="1">
        <v>68</v>
      </c>
      <c r="H7" s="1">
        <v>88</v>
      </c>
      <c r="I7" s="1">
        <v>74</v>
      </c>
      <c r="J7" s="10"/>
      <c r="K7" s="10"/>
      <c r="L7" s="10"/>
      <c r="M7" s="10"/>
      <c r="N7" s="10"/>
      <c r="O7" s="10"/>
      <c r="P7" s="10"/>
      <c r="Q7" s="16">
        <f t="shared" si="0"/>
        <v>416</v>
      </c>
    </row>
    <row r="8" spans="1:17">
      <c r="A8" s="39"/>
      <c r="B8" s="2" t="s">
        <v>238</v>
      </c>
      <c r="C8" s="45" t="s">
        <v>310</v>
      </c>
      <c r="D8" s="4">
        <v>36</v>
      </c>
      <c r="E8" s="1">
        <v>65</v>
      </c>
      <c r="F8" s="1">
        <v>103</v>
      </c>
      <c r="G8" s="1">
        <v>91</v>
      </c>
      <c r="H8" s="1">
        <v>74</v>
      </c>
      <c r="I8" s="1">
        <v>58</v>
      </c>
      <c r="J8" s="10"/>
      <c r="K8" s="10"/>
      <c r="L8" s="10"/>
      <c r="M8" s="10"/>
      <c r="N8" s="10"/>
      <c r="O8" s="10"/>
      <c r="P8" s="10"/>
      <c r="Q8" s="16">
        <f t="shared" si="0"/>
        <v>427</v>
      </c>
    </row>
    <row r="9" spans="1:17">
      <c r="A9" s="39"/>
      <c r="B9" s="2" t="s">
        <v>239</v>
      </c>
      <c r="C9" s="45" t="s">
        <v>310</v>
      </c>
      <c r="D9" s="4"/>
      <c r="E9" s="1">
        <v>57</v>
      </c>
      <c r="F9" s="1">
        <v>116</v>
      </c>
      <c r="G9" s="1">
        <v>95</v>
      </c>
      <c r="H9" s="1">
        <v>92</v>
      </c>
      <c r="I9" s="1">
        <v>86</v>
      </c>
      <c r="J9" s="10"/>
      <c r="K9" s="10"/>
      <c r="L9" s="10"/>
      <c r="M9" s="10"/>
      <c r="N9" s="10"/>
      <c r="O9" s="10"/>
      <c r="P9" s="10"/>
      <c r="Q9" s="16">
        <f t="shared" si="0"/>
        <v>446</v>
      </c>
    </row>
    <row r="10" spans="1:17">
      <c r="A10" s="39"/>
      <c r="B10" s="2" t="s">
        <v>240</v>
      </c>
      <c r="C10" s="45" t="s">
        <v>310</v>
      </c>
      <c r="D10" s="4"/>
      <c r="E10" s="1">
        <v>13</v>
      </c>
      <c r="F10" s="1">
        <v>16</v>
      </c>
      <c r="G10" s="1">
        <v>22</v>
      </c>
      <c r="H10" s="1">
        <v>5</v>
      </c>
      <c r="I10" s="1"/>
      <c r="J10" s="10"/>
      <c r="K10" s="10"/>
      <c r="L10" s="10"/>
      <c r="M10" s="10"/>
      <c r="N10" s="10"/>
      <c r="O10" s="10"/>
      <c r="P10" s="10"/>
      <c r="Q10" s="16">
        <f t="shared" si="0"/>
        <v>56</v>
      </c>
    </row>
    <row r="11" spans="1:17">
      <c r="A11" s="39"/>
      <c r="B11" s="2" t="s">
        <v>241</v>
      </c>
      <c r="C11" s="45" t="s">
        <v>310</v>
      </c>
      <c r="D11" s="4"/>
      <c r="E11" s="1">
        <v>23</v>
      </c>
      <c r="F11" s="1">
        <v>11</v>
      </c>
      <c r="G11" s="1">
        <v>7</v>
      </c>
      <c r="H11" s="1">
        <v>7</v>
      </c>
      <c r="I11" s="1">
        <v>3</v>
      </c>
      <c r="J11" s="10"/>
      <c r="K11" s="10"/>
      <c r="L11" s="10"/>
      <c r="M11" s="10"/>
      <c r="N11" s="10"/>
      <c r="O11" s="10"/>
      <c r="P11" s="10"/>
      <c r="Q11" s="16">
        <f t="shared" si="0"/>
        <v>51</v>
      </c>
    </row>
    <row r="12" spans="1:17">
      <c r="A12" s="39"/>
      <c r="B12" s="2" t="s">
        <v>242</v>
      </c>
      <c r="C12" s="45" t="s">
        <v>310</v>
      </c>
      <c r="D12" s="4"/>
      <c r="E12" s="1">
        <v>57</v>
      </c>
      <c r="F12" s="1">
        <v>106</v>
      </c>
      <c r="G12" s="1">
        <v>58</v>
      </c>
      <c r="H12" s="1">
        <v>70</v>
      </c>
      <c r="I12" s="1">
        <v>70</v>
      </c>
      <c r="J12" s="10"/>
      <c r="K12" s="10"/>
      <c r="L12" s="10"/>
      <c r="M12" s="10"/>
      <c r="N12" s="10"/>
      <c r="O12" s="10"/>
      <c r="P12" s="10"/>
      <c r="Q12" s="16">
        <f t="shared" si="0"/>
        <v>361</v>
      </c>
    </row>
    <row r="13" spans="1:17">
      <c r="A13" s="39"/>
      <c r="B13" s="2" t="s">
        <v>243</v>
      </c>
      <c r="C13" s="45" t="s">
        <v>311</v>
      </c>
      <c r="D13" s="4"/>
      <c r="E13" s="1"/>
      <c r="F13" s="1"/>
      <c r="G13" s="1"/>
      <c r="H13" s="1"/>
      <c r="I13" s="1"/>
      <c r="J13" s="1">
        <v>132</v>
      </c>
      <c r="K13" s="1">
        <v>95</v>
      </c>
      <c r="L13" s="1">
        <v>61</v>
      </c>
      <c r="M13" s="1">
        <v>83</v>
      </c>
      <c r="N13" s="10"/>
      <c r="O13" s="10"/>
      <c r="P13" s="10"/>
      <c r="Q13" s="16">
        <f t="shared" si="0"/>
        <v>371</v>
      </c>
    </row>
    <row r="14" spans="1:17">
      <c r="A14" s="39"/>
      <c r="B14" s="2" t="s">
        <v>244</v>
      </c>
      <c r="C14" s="45" t="s">
        <v>311</v>
      </c>
      <c r="D14" s="4"/>
      <c r="E14" s="1"/>
      <c r="F14" s="1"/>
      <c r="G14" s="1"/>
      <c r="H14" s="1"/>
      <c r="I14" s="1"/>
      <c r="J14" s="1">
        <v>170</v>
      </c>
      <c r="K14" s="1">
        <v>130</v>
      </c>
      <c r="L14" s="1">
        <v>113</v>
      </c>
      <c r="M14" s="1">
        <v>86</v>
      </c>
      <c r="N14" s="10"/>
      <c r="O14" s="10"/>
      <c r="P14" s="10"/>
      <c r="Q14" s="16">
        <f t="shared" si="0"/>
        <v>499</v>
      </c>
    </row>
    <row r="15" spans="1:17">
      <c r="A15" s="39"/>
      <c r="B15" s="2" t="s">
        <v>245</v>
      </c>
      <c r="C15" s="45" t="s">
        <v>311</v>
      </c>
      <c r="D15" s="4"/>
      <c r="E15" s="1"/>
      <c r="F15" s="1"/>
      <c r="G15" s="1"/>
      <c r="H15" s="1"/>
      <c r="I15" s="1"/>
      <c r="J15" s="1">
        <v>173</v>
      </c>
      <c r="K15" s="1">
        <v>112</v>
      </c>
      <c r="L15" s="1">
        <v>108</v>
      </c>
      <c r="M15" s="1">
        <v>65</v>
      </c>
      <c r="N15" s="10"/>
      <c r="O15" s="10"/>
      <c r="P15" s="10"/>
      <c r="Q15" s="16">
        <f t="shared" si="0"/>
        <v>458</v>
      </c>
    </row>
    <row r="16" spans="1:17">
      <c r="A16" s="39"/>
      <c r="B16" s="2" t="s">
        <v>246</v>
      </c>
      <c r="C16" s="45" t="s">
        <v>311</v>
      </c>
      <c r="D16" s="4"/>
      <c r="E16" s="1"/>
      <c r="F16" s="1"/>
      <c r="G16" s="1"/>
      <c r="H16" s="1"/>
      <c r="I16" s="1"/>
      <c r="J16" s="1">
        <v>131</v>
      </c>
      <c r="K16" s="1">
        <v>119</v>
      </c>
      <c r="L16" s="1">
        <v>114</v>
      </c>
      <c r="M16" s="1">
        <v>113</v>
      </c>
      <c r="N16" s="10"/>
      <c r="O16" s="10"/>
      <c r="P16" s="10"/>
      <c r="Q16" s="16">
        <f t="shared" si="0"/>
        <v>477</v>
      </c>
    </row>
    <row r="17" spans="1:17">
      <c r="A17" s="40"/>
      <c r="B17" s="3" t="s">
        <v>247</v>
      </c>
      <c r="C17" s="46" t="s">
        <v>312</v>
      </c>
      <c r="D17" s="9"/>
      <c r="E17" s="7"/>
      <c r="F17" s="7"/>
      <c r="G17" s="7"/>
      <c r="H17" s="7"/>
      <c r="I17" s="7"/>
      <c r="J17" s="12"/>
      <c r="K17" s="12"/>
      <c r="L17" s="12"/>
      <c r="M17" s="12"/>
      <c r="N17" s="7">
        <v>259</v>
      </c>
      <c r="O17" s="7">
        <v>236</v>
      </c>
      <c r="P17" s="7">
        <v>170</v>
      </c>
      <c r="Q17" s="16">
        <f t="shared" si="0"/>
        <v>665</v>
      </c>
    </row>
    <row r="18" spans="1:17">
      <c r="A18" s="17" t="s">
        <v>287</v>
      </c>
      <c r="B18" s="16"/>
      <c r="C18" s="16"/>
      <c r="D18" s="16">
        <f>SUM(D3:D17)</f>
        <v>197</v>
      </c>
      <c r="E18" s="16">
        <f t="shared" ref="E18:Q18" si="1">SUM(E3:E17)</f>
        <v>496</v>
      </c>
      <c r="F18" s="16">
        <f t="shared" si="1"/>
        <v>761</v>
      </c>
      <c r="G18" s="16">
        <f t="shared" si="1"/>
        <v>628</v>
      </c>
      <c r="H18" s="16">
        <f t="shared" si="1"/>
        <v>632</v>
      </c>
      <c r="I18" s="16">
        <f t="shared" si="1"/>
        <v>509</v>
      </c>
      <c r="J18" s="16">
        <f t="shared" si="1"/>
        <v>606</v>
      </c>
      <c r="K18" s="16">
        <f t="shared" si="1"/>
        <v>456</v>
      </c>
      <c r="L18" s="16">
        <f t="shared" si="1"/>
        <v>396</v>
      </c>
      <c r="M18" s="16">
        <f t="shared" si="1"/>
        <v>347</v>
      </c>
      <c r="N18" s="16">
        <f t="shared" si="1"/>
        <v>259</v>
      </c>
      <c r="O18" s="16">
        <f t="shared" si="1"/>
        <v>236</v>
      </c>
      <c r="P18" s="16">
        <f t="shared" si="1"/>
        <v>170</v>
      </c>
      <c r="Q18" s="16">
        <f t="shared" si="1"/>
        <v>5693</v>
      </c>
    </row>
  </sheetData>
  <mergeCells count="7">
    <mergeCell ref="N1:P1"/>
    <mergeCell ref="Q1:Q2"/>
    <mergeCell ref="A3:A17"/>
    <mergeCell ref="A1:A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0"/>
  <sheetViews>
    <sheetView rightToLeft="1" workbookViewId="0">
      <pane ySplit="2" topLeftCell="A3" activePane="bottomLeft" state="frozen"/>
      <selection pane="bottomLeft" activeCell="C1" sqref="C1:C1048576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7.4257812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29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29"/>
    </row>
    <row r="3" spans="1:17">
      <c r="A3" s="39" t="s">
        <v>255</v>
      </c>
      <c r="B3" s="2" t="s">
        <v>248</v>
      </c>
      <c r="C3" s="45" t="s">
        <v>310</v>
      </c>
      <c r="D3" s="4">
        <v>0</v>
      </c>
      <c r="E3" s="1">
        <v>7</v>
      </c>
      <c r="F3" s="1">
        <v>20</v>
      </c>
      <c r="G3" s="1">
        <v>25</v>
      </c>
      <c r="H3" s="1">
        <v>21</v>
      </c>
      <c r="I3" s="1">
        <v>10</v>
      </c>
      <c r="J3" s="10"/>
      <c r="K3" s="10"/>
      <c r="L3" s="10"/>
      <c r="M3" s="10"/>
      <c r="N3" s="10"/>
      <c r="O3" s="10"/>
      <c r="P3" s="10"/>
      <c r="Q3" s="16">
        <f>SUM(D3:P3)</f>
        <v>83</v>
      </c>
    </row>
    <row r="4" spans="1:17">
      <c r="A4" s="39"/>
      <c r="B4" s="2" t="s">
        <v>249</v>
      </c>
      <c r="C4" s="45" t="s">
        <v>310</v>
      </c>
      <c r="D4" s="4">
        <v>0</v>
      </c>
      <c r="E4" s="1">
        <v>18</v>
      </c>
      <c r="F4" s="1">
        <v>19</v>
      </c>
      <c r="G4" s="1">
        <v>27</v>
      </c>
      <c r="H4" s="1">
        <v>15</v>
      </c>
      <c r="I4" s="1">
        <v>16</v>
      </c>
      <c r="J4" s="10"/>
      <c r="K4" s="10"/>
      <c r="L4" s="10"/>
      <c r="M4" s="10"/>
      <c r="N4" s="10"/>
      <c r="O4" s="10"/>
      <c r="P4" s="10"/>
      <c r="Q4" s="16">
        <f t="shared" ref="Q4:Q9" si="0">SUM(D4:P4)</f>
        <v>95</v>
      </c>
    </row>
    <row r="5" spans="1:17">
      <c r="A5" s="39"/>
      <c r="B5" s="2" t="s">
        <v>250</v>
      </c>
      <c r="C5" s="45" t="s">
        <v>310</v>
      </c>
      <c r="D5" s="4">
        <v>0</v>
      </c>
      <c r="E5" s="1">
        <v>29</v>
      </c>
      <c r="F5" s="1">
        <v>34</v>
      </c>
      <c r="G5" s="1">
        <v>31</v>
      </c>
      <c r="H5" s="1">
        <v>39</v>
      </c>
      <c r="I5" s="1">
        <v>21</v>
      </c>
      <c r="J5" s="10"/>
      <c r="K5" s="10"/>
      <c r="L5" s="10"/>
      <c r="M5" s="10"/>
      <c r="N5" s="10"/>
      <c r="O5" s="10"/>
      <c r="P5" s="10"/>
      <c r="Q5" s="16">
        <f t="shared" si="0"/>
        <v>154</v>
      </c>
    </row>
    <row r="6" spans="1:17">
      <c r="A6" s="39"/>
      <c r="B6" s="2" t="s">
        <v>251</v>
      </c>
      <c r="C6" s="45" t="s">
        <v>310</v>
      </c>
      <c r="D6" s="4">
        <v>0</v>
      </c>
      <c r="E6" s="1">
        <v>5</v>
      </c>
      <c r="F6" s="1">
        <v>10</v>
      </c>
      <c r="G6" s="1">
        <v>13</v>
      </c>
      <c r="H6" s="1">
        <v>15</v>
      </c>
      <c r="I6" s="1">
        <v>9</v>
      </c>
      <c r="J6" s="10"/>
      <c r="K6" s="10"/>
      <c r="L6" s="10"/>
      <c r="M6" s="10"/>
      <c r="N6" s="10"/>
      <c r="O6" s="10"/>
      <c r="P6" s="10"/>
      <c r="Q6" s="16">
        <f t="shared" si="0"/>
        <v>52</v>
      </c>
    </row>
    <row r="7" spans="1:17">
      <c r="A7" s="39"/>
      <c r="B7" s="2" t="s">
        <v>252</v>
      </c>
      <c r="C7" s="45" t="s">
        <v>310</v>
      </c>
      <c r="D7" s="4">
        <v>0</v>
      </c>
      <c r="E7" s="1">
        <v>20</v>
      </c>
      <c r="F7" s="1">
        <v>41</v>
      </c>
      <c r="G7" s="1">
        <v>23</v>
      </c>
      <c r="H7" s="1">
        <v>19</v>
      </c>
      <c r="I7" s="1">
        <v>35</v>
      </c>
      <c r="J7" s="10"/>
      <c r="K7" s="10"/>
      <c r="L7" s="10"/>
      <c r="M7" s="10"/>
      <c r="N7" s="10"/>
      <c r="O7" s="10"/>
      <c r="P7" s="10"/>
      <c r="Q7" s="16">
        <f t="shared" si="0"/>
        <v>138</v>
      </c>
    </row>
    <row r="8" spans="1:17">
      <c r="A8" s="39"/>
      <c r="B8" s="2" t="s">
        <v>253</v>
      </c>
      <c r="C8" s="45" t="s">
        <v>311</v>
      </c>
      <c r="D8" s="4"/>
      <c r="E8" s="1"/>
      <c r="F8" s="1"/>
      <c r="G8" s="1"/>
      <c r="H8" s="1"/>
      <c r="I8" s="1"/>
      <c r="J8" s="1">
        <v>116</v>
      </c>
      <c r="K8" s="1">
        <v>86</v>
      </c>
      <c r="L8" s="1">
        <v>77</v>
      </c>
      <c r="M8" s="1">
        <v>72</v>
      </c>
      <c r="N8" s="10"/>
      <c r="O8" s="10"/>
      <c r="P8" s="10"/>
      <c r="Q8" s="16">
        <f t="shared" si="0"/>
        <v>351</v>
      </c>
    </row>
    <row r="9" spans="1:17">
      <c r="A9" s="40"/>
      <c r="B9" s="3" t="s">
        <v>254</v>
      </c>
      <c r="C9" s="46" t="s">
        <v>312</v>
      </c>
      <c r="D9" s="9"/>
      <c r="E9" s="7"/>
      <c r="F9" s="7"/>
      <c r="G9" s="7"/>
      <c r="H9" s="7"/>
      <c r="I9" s="7"/>
      <c r="J9" s="12"/>
      <c r="K9" s="12"/>
      <c r="L9" s="12"/>
      <c r="M9" s="12"/>
      <c r="N9" s="7">
        <v>35</v>
      </c>
      <c r="O9" s="7">
        <v>48</v>
      </c>
      <c r="P9" s="7">
        <v>57</v>
      </c>
      <c r="Q9" s="16">
        <f t="shared" si="0"/>
        <v>140</v>
      </c>
    </row>
    <row r="10" spans="1:17">
      <c r="A10" s="17" t="s">
        <v>287</v>
      </c>
      <c r="B10" s="16"/>
      <c r="C10" s="16"/>
      <c r="D10" s="16">
        <f>SUM(D3:D9)</f>
        <v>0</v>
      </c>
      <c r="E10" s="16">
        <f t="shared" ref="E10:Q10" si="1">SUM(E3:E9)</f>
        <v>79</v>
      </c>
      <c r="F10" s="16">
        <f t="shared" si="1"/>
        <v>124</v>
      </c>
      <c r="G10" s="16">
        <f t="shared" si="1"/>
        <v>119</v>
      </c>
      <c r="H10" s="16">
        <f t="shared" si="1"/>
        <v>109</v>
      </c>
      <c r="I10" s="16">
        <f t="shared" si="1"/>
        <v>91</v>
      </c>
      <c r="J10" s="16">
        <f t="shared" si="1"/>
        <v>116</v>
      </c>
      <c r="K10" s="16">
        <f t="shared" si="1"/>
        <v>86</v>
      </c>
      <c r="L10" s="16">
        <f t="shared" si="1"/>
        <v>77</v>
      </c>
      <c r="M10" s="16">
        <f t="shared" si="1"/>
        <v>72</v>
      </c>
      <c r="N10" s="16">
        <f t="shared" si="1"/>
        <v>35</v>
      </c>
      <c r="O10" s="16">
        <f t="shared" si="1"/>
        <v>48</v>
      </c>
      <c r="P10" s="16">
        <f t="shared" si="1"/>
        <v>57</v>
      </c>
      <c r="Q10" s="16">
        <f t="shared" si="1"/>
        <v>1013</v>
      </c>
    </row>
  </sheetData>
  <mergeCells count="7">
    <mergeCell ref="N1:P1"/>
    <mergeCell ref="Q1:Q2"/>
    <mergeCell ref="A3:A9"/>
    <mergeCell ref="A1:A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10"/>
  <sheetViews>
    <sheetView rightToLeft="1" workbookViewId="0">
      <pane ySplit="2" topLeftCell="A3" activePane="bottomLeft" state="frozen"/>
      <selection pane="bottomLeft" activeCell="C1" sqref="C1:C1048576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7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1" t="s">
        <v>296</v>
      </c>
    </row>
    <row r="2" spans="1:17" ht="15.95" customHeight="1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2"/>
    </row>
    <row r="3" spans="1:17">
      <c r="A3" s="39" t="s">
        <v>263</v>
      </c>
      <c r="B3" s="2" t="s">
        <v>256</v>
      </c>
      <c r="C3" s="45" t="s">
        <v>310</v>
      </c>
      <c r="D3" s="4">
        <v>0</v>
      </c>
      <c r="E3" s="1">
        <v>10</v>
      </c>
      <c r="F3" s="1">
        <v>7</v>
      </c>
      <c r="G3" s="1">
        <v>5</v>
      </c>
      <c r="H3" s="1">
        <v>6</v>
      </c>
      <c r="I3" s="1">
        <v>2</v>
      </c>
      <c r="J3" s="10"/>
      <c r="K3" s="10"/>
      <c r="L3" s="10"/>
      <c r="M3" s="10"/>
      <c r="N3" s="10"/>
      <c r="O3" s="10"/>
      <c r="P3" s="10"/>
      <c r="Q3" s="16">
        <f>SUM(D3:P3)</f>
        <v>30</v>
      </c>
    </row>
    <row r="4" spans="1:17">
      <c r="A4" s="39"/>
      <c r="B4" s="2" t="s">
        <v>257</v>
      </c>
      <c r="C4" s="45" t="s">
        <v>310</v>
      </c>
      <c r="D4" s="4">
        <v>0</v>
      </c>
      <c r="E4" s="1">
        <v>71</v>
      </c>
      <c r="F4" s="1">
        <v>89</v>
      </c>
      <c r="G4" s="1">
        <v>77</v>
      </c>
      <c r="H4" s="1">
        <v>81</v>
      </c>
      <c r="I4" s="1">
        <v>58</v>
      </c>
      <c r="J4" s="10"/>
      <c r="K4" s="10"/>
      <c r="L4" s="10"/>
      <c r="M4" s="10"/>
      <c r="N4" s="10"/>
      <c r="O4" s="10"/>
      <c r="P4" s="10"/>
      <c r="Q4" s="16">
        <f t="shared" ref="Q4:Q9" si="0">SUM(D4:P4)</f>
        <v>376</v>
      </c>
    </row>
    <row r="5" spans="1:17">
      <c r="A5" s="39"/>
      <c r="B5" s="2" t="s">
        <v>258</v>
      </c>
      <c r="C5" s="45" t="s">
        <v>310</v>
      </c>
      <c r="D5" s="4">
        <v>0</v>
      </c>
      <c r="E5" s="1">
        <v>24</v>
      </c>
      <c r="F5" s="1">
        <v>50</v>
      </c>
      <c r="G5" s="1">
        <v>53</v>
      </c>
      <c r="H5" s="1">
        <v>55</v>
      </c>
      <c r="I5" s="1">
        <v>54</v>
      </c>
      <c r="J5" s="10"/>
      <c r="K5" s="10"/>
      <c r="L5" s="10"/>
      <c r="M5" s="10"/>
      <c r="N5" s="10"/>
      <c r="O5" s="10"/>
      <c r="P5" s="10"/>
      <c r="Q5" s="16">
        <f t="shared" si="0"/>
        <v>236</v>
      </c>
    </row>
    <row r="6" spans="1:17">
      <c r="A6" s="39"/>
      <c r="B6" s="2" t="s">
        <v>259</v>
      </c>
      <c r="C6" s="45" t="s">
        <v>310</v>
      </c>
      <c r="D6" s="4">
        <v>0</v>
      </c>
      <c r="E6" s="1">
        <v>45</v>
      </c>
      <c r="F6" s="1">
        <v>36</v>
      </c>
      <c r="G6" s="1">
        <v>33</v>
      </c>
      <c r="H6" s="1">
        <v>23</v>
      </c>
      <c r="I6" s="1">
        <v>31</v>
      </c>
      <c r="J6" s="10"/>
      <c r="K6" s="10"/>
      <c r="L6" s="10"/>
      <c r="M6" s="10"/>
      <c r="N6" s="10"/>
      <c r="O6" s="10"/>
      <c r="P6" s="10"/>
      <c r="Q6" s="16">
        <f t="shared" si="0"/>
        <v>168</v>
      </c>
    </row>
    <row r="7" spans="1:17">
      <c r="A7" s="39"/>
      <c r="B7" s="2" t="s">
        <v>260</v>
      </c>
      <c r="C7" s="45" t="s">
        <v>310</v>
      </c>
      <c r="D7" s="4">
        <v>0</v>
      </c>
      <c r="E7" s="1">
        <v>57</v>
      </c>
      <c r="F7" s="1">
        <v>78</v>
      </c>
      <c r="G7" s="1">
        <v>61</v>
      </c>
      <c r="H7" s="1">
        <v>72</v>
      </c>
      <c r="I7" s="1">
        <v>57</v>
      </c>
      <c r="J7" s="10"/>
      <c r="K7" s="10"/>
      <c r="L7" s="10"/>
      <c r="M7" s="10"/>
      <c r="N7" s="10"/>
      <c r="O7" s="10"/>
      <c r="P7" s="10"/>
      <c r="Q7" s="16">
        <f t="shared" si="0"/>
        <v>325</v>
      </c>
    </row>
    <row r="8" spans="1:17">
      <c r="A8" s="39"/>
      <c r="B8" s="2" t="s">
        <v>261</v>
      </c>
      <c r="C8" s="45" t="s">
        <v>311</v>
      </c>
      <c r="D8" s="4"/>
      <c r="E8" s="1"/>
      <c r="F8" s="1"/>
      <c r="G8" s="1"/>
      <c r="H8" s="1"/>
      <c r="I8" s="1"/>
      <c r="J8" s="1">
        <v>241</v>
      </c>
      <c r="K8" s="1">
        <v>174</v>
      </c>
      <c r="L8" s="1">
        <v>176</v>
      </c>
      <c r="M8" s="1">
        <v>131</v>
      </c>
      <c r="N8" s="10"/>
      <c r="O8" s="10"/>
      <c r="P8" s="10"/>
      <c r="Q8" s="16">
        <f t="shared" si="0"/>
        <v>722</v>
      </c>
    </row>
    <row r="9" spans="1:17">
      <c r="A9" s="40"/>
      <c r="B9" s="3" t="s">
        <v>262</v>
      </c>
      <c r="C9" s="46" t="s">
        <v>312</v>
      </c>
      <c r="D9" s="9"/>
      <c r="E9" s="7"/>
      <c r="F9" s="7"/>
      <c r="G9" s="7"/>
      <c r="H9" s="7"/>
      <c r="I9" s="7"/>
      <c r="J9" s="12"/>
      <c r="K9" s="12"/>
      <c r="L9" s="12"/>
      <c r="M9" s="12"/>
      <c r="N9" s="7">
        <v>86</v>
      </c>
      <c r="O9" s="7">
        <v>65</v>
      </c>
      <c r="P9" s="7">
        <v>81</v>
      </c>
      <c r="Q9" s="16">
        <f t="shared" si="0"/>
        <v>232</v>
      </c>
    </row>
    <row r="10" spans="1:17">
      <c r="A10" s="17" t="s">
        <v>287</v>
      </c>
      <c r="B10" s="16"/>
      <c r="C10" s="16"/>
      <c r="D10" s="16">
        <f>SUM(D3:D9)</f>
        <v>0</v>
      </c>
      <c r="E10" s="16">
        <f t="shared" ref="E10:Q10" si="1">SUM(E3:E9)</f>
        <v>207</v>
      </c>
      <c r="F10" s="16">
        <f t="shared" si="1"/>
        <v>260</v>
      </c>
      <c r="G10" s="16">
        <f t="shared" si="1"/>
        <v>229</v>
      </c>
      <c r="H10" s="16">
        <f t="shared" si="1"/>
        <v>237</v>
      </c>
      <c r="I10" s="16">
        <f t="shared" si="1"/>
        <v>202</v>
      </c>
      <c r="J10" s="16">
        <f t="shared" si="1"/>
        <v>241</v>
      </c>
      <c r="K10" s="16">
        <f t="shared" si="1"/>
        <v>174</v>
      </c>
      <c r="L10" s="16">
        <f t="shared" si="1"/>
        <v>176</v>
      </c>
      <c r="M10" s="16">
        <f t="shared" si="1"/>
        <v>131</v>
      </c>
      <c r="N10" s="16">
        <f t="shared" si="1"/>
        <v>86</v>
      </c>
      <c r="O10" s="16">
        <f t="shared" si="1"/>
        <v>65</v>
      </c>
      <c r="P10" s="16">
        <f t="shared" si="1"/>
        <v>81</v>
      </c>
      <c r="Q10" s="16">
        <f t="shared" si="1"/>
        <v>2089</v>
      </c>
    </row>
  </sheetData>
  <mergeCells count="7">
    <mergeCell ref="N1:P1"/>
    <mergeCell ref="Q1:Q2"/>
    <mergeCell ref="A3:A9"/>
    <mergeCell ref="A1:A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9"/>
  <sheetViews>
    <sheetView rightToLeft="1" tabSelected="1" workbookViewId="0">
      <pane ySplit="2" topLeftCell="A3" activePane="bottomLeft" state="frozen"/>
      <selection pane="bottomLeft" activeCell="C1" sqref="C1:C1048576"/>
    </sheetView>
  </sheetViews>
  <sheetFormatPr baseColWidth="10" defaultColWidth="9" defaultRowHeight="15"/>
  <cols>
    <col min="1" max="1" width="13.28515625" customWidth="1"/>
    <col min="2" max="2" width="33.42578125" customWidth="1"/>
    <col min="3" max="3" width="7.85546875" style="47" customWidth="1"/>
    <col min="4" max="4" width="7.28515625" bestFit="1" customWidth="1"/>
    <col min="11" max="11" width="8.42578125" customWidth="1"/>
  </cols>
  <sheetData>
    <row r="1" spans="1:17">
      <c r="A1" s="31" t="s">
        <v>50</v>
      </c>
      <c r="B1" s="35" t="s">
        <v>51</v>
      </c>
      <c r="C1" s="28"/>
      <c r="D1" s="30" t="s">
        <v>293</v>
      </c>
      <c r="E1" s="30"/>
      <c r="F1" s="30"/>
      <c r="G1" s="30"/>
      <c r="H1" s="30"/>
      <c r="I1" s="30"/>
      <c r="J1" s="30" t="s">
        <v>294</v>
      </c>
      <c r="K1" s="30"/>
      <c r="L1" s="30"/>
      <c r="M1" s="30"/>
      <c r="N1" s="30" t="s">
        <v>295</v>
      </c>
      <c r="O1" s="30"/>
      <c r="P1" s="30"/>
      <c r="Q1" s="43" t="s">
        <v>296</v>
      </c>
    </row>
    <row r="2" spans="1:17">
      <c r="A2" s="32"/>
      <c r="B2" s="35"/>
      <c r="C2" s="28"/>
      <c r="D2" s="5" t="s">
        <v>288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52</v>
      </c>
      <c r="O2" s="5" t="s">
        <v>53</v>
      </c>
      <c r="P2" s="5" t="s">
        <v>54</v>
      </c>
      <c r="Q2" s="44"/>
    </row>
    <row r="3" spans="1:17">
      <c r="A3" s="39" t="s">
        <v>270</v>
      </c>
      <c r="B3" s="2" t="s">
        <v>264</v>
      </c>
      <c r="C3" s="45" t="s">
        <v>310</v>
      </c>
      <c r="D3" s="4">
        <v>0</v>
      </c>
      <c r="E3" s="1">
        <v>3</v>
      </c>
      <c r="F3" s="1">
        <v>4</v>
      </c>
      <c r="G3" s="1">
        <v>7</v>
      </c>
      <c r="H3" s="1"/>
      <c r="I3" s="1">
        <v>4</v>
      </c>
      <c r="J3" s="10"/>
      <c r="K3" s="10"/>
      <c r="L3" s="10"/>
      <c r="M3" s="10"/>
      <c r="N3" s="10"/>
      <c r="O3" s="10"/>
      <c r="P3" s="10"/>
      <c r="Q3" s="16">
        <f>SUM(D3:P3)</f>
        <v>18</v>
      </c>
    </row>
    <row r="4" spans="1:17">
      <c r="A4" s="39"/>
      <c r="B4" s="2" t="s">
        <v>265</v>
      </c>
      <c r="C4" s="45" t="s">
        <v>310</v>
      </c>
      <c r="D4" s="4">
        <v>0</v>
      </c>
      <c r="E4" s="1">
        <v>27</v>
      </c>
      <c r="F4" s="1">
        <v>35</v>
      </c>
      <c r="G4" s="1">
        <v>24</v>
      </c>
      <c r="H4" s="1">
        <v>33</v>
      </c>
      <c r="I4" s="1">
        <v>31</v>
      </c>
      <c r="J4" s="10"/>
      <c r="K4" s="10"/>
      <c r="L4" s="10"/>
      <c r="M4" s="10"/>
      <c r="N4" s="10"/>
      <c r="O4" s="10"/>
      <c r="P4" s="10"/>
      <c r="Q4" s="16">
        <f t="shared" ref="Q4:Q8" si="0">SUM(D4:P4)</f>
        <v>150</v>
      </c>
    </row>
    <row r="5" spans="1:17">
      <c r="A5" s="39"/>
      <c r="B5" s="2" t="s">
        <v>266</v>
      </c>
      <c r="C5" s="45" t="s">
        <v>310</v>
      </c>
      <c r="D5" s="4">
        <v>0</v>
      </c>
      <c r="E5" s="1">
        <v>9</v>
      </c>
      <c r="F5" s="1">
        <v>26</v>
      </c>
      <c r="G5" s="1">
        <v>11</v>
      </c>
      <c r="H5" s="1">
        <v>17</v>
      </c>
      <c r="I5" s="1">
        <v>16</v>
      </c>
      <c r="J5" s="10"/>
      <c r="K5" s="10"/>
      <c r="L5" s="10"/>
      <c r="M5" s="10"/>
      <c r="N5" s="10"/>
      <c r="O5" s="10"/>
      <c r="P5" s="10"/>
      <c r="Q5" s="16">
        <f t="shared" si="0"/>
        <v>79</v>
      </c>
    </row>
    <row r="6" spans="1:17">
      <c r="A6" s="39"/>
      <c r="B6" s="2" t="s">
        <v>267</v>
      </c>
      <c r="C6" s="45" t="s">
        <v>310</v>
      </c>
      <c r="D6" s="4">
        <v>0</v>
      </c>
      <c r="E6" s="1">
        <v>27</v>
      </c>
      <c r="F6" s="1">
        <v>29</v>
      </c>
      <c r="G6" s="1">
        <v>33</v>
      </c>
      <c r="H6" s="1">
        <v>26</v>
      </c>
      <c r="I6" s="1">
        <v>29</v>
      </c>
      <c r="J6" s="10"/>
      <c r="K6" s="10"/>
      <c r="L6" s="10"/>
      <c r="M6" s="10"/>
      <c r="N6" s="10"/>
      <c r="O6" s="10"/>
      <c r="P6" s="10"/>
      <c r="Q6" s="16">
        <f t="shared" si="0"/>
        <v>144</v>
      </c>
    </row>
    <row r="7" spans="1:17">
      <c r="A7" s="39"/>
      <c r="B7" s="2" t="s">
        <v>268</v>
      </c>
      <c r="C7" s="45" t="s">
        <v>310</v>
      </c>
      <c r="D7" s="4">
        <v>0</v>
      </c>
      <c r="E7" s="1">
        <v>10</v>
      </c>
      <c r="F7" s="1">
        <v>23</v>
      </c>
      <c r="G7" s="1">
        <v>8</v>
      </c>
      <c r="H7" s="1">
        <v>12</v>
      </c>
      <c r="I7" s="1">
        <v>20</v>
      </c>
      <c r="J7" s="10"/>
      <c r="K7" s="10"/>
      <c r="L7" s="10"/>
      <c r="M7" s="10"/>
      <c r="N7" s="10"/>
      <c r="O7" s="10"/>
      <c r="P7" s="10"/>
      <c r="Q7" s="16">
        <f t="shared" si="0"/>
        <v>73</v>
      </c>
    </row>
    <row r="8" spans="1:17">
      <c r="A8" s="40"/>
      <c r="B8" s="3" t="s">
        <v>269</v>
      </c>
      <c r="C8" s="46" t="s">
        <v>311</v>
      </c>
      <c r="D8" s="9"/>
      <c r="E8" s="7"/>
      <c r="F8" s="7"/>
      <c r="G8" s="7"/>
      <c r="H8" s="7"/>
      <c r="I8" s="7"/>
      <c r="J8" s="7">
        <v>87</v>
      </c>
      <c r="K8" s="7">
        <v>79</v>
      </c>
      <c r="L8" s="7">
        <v>80</v>
      </c>
      <c r="M8" s="7">
        <v>94</v>
      </c>
      <c r="N8" s="12"/>
      <c r="O8" s="12"/>
      <c r="P8" s="12"/>
      <c r="Q8" s="16">
        <f t="shared" si="0"/>
        <v>340</v>
      </c>
    </row>
    <row r="9" spans="1:17">
      <c r="A9" s="17" t="s">
        <v>287</v>
      </c>
      <c r="B9" s="16"/>
      <c r="C9" s="16"/>
      <c r="D9" s="16">
        <f>SUM(D3:D8)</f>
        <v>0</v>
      </c>
      <c r="E9" s="16">
        <f t="shared" ref="E9:Q9" si="1">SUM(E3:E8)</f>
        <v>76</v>
      </c>
      <c r="F9" s="16">
        <f t="shared" si="1"/>
        <v>117</v>
      </c>
      <c r="G9" s="16">
        <f t="shared" si="1"/>
        <v>83</v>
      </c>
      <c r="H9" s="16">
        <f t="shared" si="1"/>
        <v>88</v>
      </c>
      <c r="I9" s="16">
        <f t="shared" si="1"/>
        <v>100</v>
      </c>
      <c r="J9" s="16">
        <f t="shared" si="1"/>
        <v>87</v>
      </c>
      <c r="K9" s="16">
        <f t="shared" si="1"/>
        <v>79</v>
      </c>
      <c r="L9" s="16">
        <f t="shared" si="1"/>
        <v>80</v>
      </c>
      <c r="M9" s="16">
        <f t="shared" si="1"/>
        <v>94</v>
      </c>
      <c r="N9" s="16">
        <f t="shared" si="1"/>
        <v>0</v>
      </c>
      <c r="O9" s="16">
        <f t="shared" si="1"/>
        <v>0</v>
      </c>
      <c r="P9" s="16">
        <f t="shared" si="1"/>
        <v>0</v>
      </c>
      <c r="Q9" s="16">
        <f t="shared" si="1"/>
        <v>804</v>
      </c>
    </row>
  </sheetData>
  <mergeCells count="7">
    <mergeCell ref="N1:P1"/>
    <mergeCell ref="Q1:Q2"/>
    <mergeCell ref="A3:A8"/>
    <mergeCell ref="A1:A2"/>
    <mergeCell ref="B1:B2"/>
    <mergeCell ref="D1:I1"/>
    <mergeCell ref="J1:M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total</vt:lpstr>
      <vt:lpstr>adila</vt:lpstr>
      <vt:lpstr>1 nov</vt:lpstr>
      <vt:lpstr>nadjah</vt:lpstr>
      <vt:lpstr>al amir</vt:lpstr>
      <vt:lpstr>sailaa karia</vt:lpstr>
      <vt:lpstr>tahiri</vt:lpstr>
      <vt:lpstr>mahata rggab</vt:lpstr>
      <vt:lpstr>belahrch</vt:lpstr>
      <vt:lpstr>bakai</vt:lpstr>
      <vt:lpstr>belhwadjb</vt:lpstr>
      <vt:lpstr>el kotb</vt:lpstr>
      <vt:lpstr>idrissia</vt:lpstr>
      <vt:lpstr>charef</vt:lpstr>
      <vt:lpstr>guedid</vt:lpstr>
      <vt:lpstr>ben yaagoub</vt:lpstr>
      <vt:lpstr>douis</vt:lpstr>
      <vt:lpstr>ain chouhadda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</dc:creator>
  <cp:lastModifiedBy>Bzbook</cp:lastModifiedBy>
  <dcterms:created xsi:type="dcterms:W3CDTF">2025-12-10T21:11:18Z</dcterms:created>
  <dcterms:modified xsi:type="dcterms:W3CDTF">2026-04-26T16:24:34Z</dcterms:modified>
</cp:coreProperties>
</file>